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 tabRatio="210" activeTab="3"/>
  </bookViews>
  <sheets>
    <sheet name="HASH" sheetId="1" r:id="rId1"/>
    <sheet name="IP" sheetId="3" r:id="rId2"/>
    <sheet name="Domain" sheetId="4" r:id="rId3"/>
    <sheet name="URL" sheetId="5" r:id="rId4"/>
  </sheets>
  <calcPr calcId="145621"/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L3" i="5"/>
  <c r="L4" i="5"/>
  <c r="L5" i="5"/>
  <c r="L6" i="5"/>
  <c r="L7" i="5"/>
  <c r="L8" i="5"/>
  <c r="L3" i="3" l="1"/>
  <c r="L4" i="3"/>
  <c r="L5" i="3"/>
  <c r="L6" i="3"/>
  <c r="L7" i="3"/>
  <c r="L2" i="4"/>
  <c r="L2" i="5" l="1"/>
  <c r="L9" i="5" s="1"/>
  <c r="L2" i="3"/>
  <c r="L3" i="4"/>
  <c r="L4" i="4"/>
  <c r="L5" i="4"/>
  <c r="L6" i="4"/>
  <c r="L7" i="4"/>
  <c r="L8" i="4"/>
  <c r="L3" i="1"/>
  <c r="L4" i="1"/>
  <c r="L5" i="1"/>
  <c r="L6" i="1"/>
  <c r="L2" i="1"/>
  <c r="K2" i="1"/>
  <c r="M2" i="5" l="1"/>
  <c r="L8" i="3"/>
  <c r="L9" i="4"/>
  <c r="K3" i="1"/>
  <c r="K4" i="1"/>
  <c r="K5" i="1"/>
  <c r="K6" i="1"/>
  <c r="F2" i="5"/>
  <c r="F2" i="4"/>
  <c r="M3" i="3" l="1"/>
  <c r="M2" i="3"/>
  <c r="M5" i="4"/>
  <c r="M2" i="4"/>
  <c r="M3" i="4"/>
  <c r="M7" i="4"/>
  <c r="M4" i="4"/>
  <c r="M8" i="4"/>
  <c r="M6" i="4"/>
  <c r="M4" i="3"/>
  <c r="M5" i="3"/>
  <c r="M6" i="3"/>
  <c r="M7" i="3"/>
  <c r="F3" i="3" l="1"/>
  <c r="F6" i="3"/>
  <c r="E3" i="1"/>
  <c r="K7" i="1" l="1"/>
</calcChain>
</file>

<file path=xl/comments1.xml><?xml version="1.0" encoding="utf-8"?>
<comments xmlns="http://schemas.openxmlformats.org/spreadsheetml/2006/main">
  <authors>
    <author>Giovanni Urbinello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permette il download anche di parte di altre liste in tabella, ad es. ZEUS</t>
        </r>
      </text>
    </comment>
  </commentList>
</comments>
</file>

<file path=xl/comments2.xml><?xml version="1.0" encoding="utf-8"?>
<comments xmlns="http://schemas.openxmlformats.org/spreadsheetml/2006/main">
  <authors>
    <author>Giovanni Urbinello</author>
  </authors>
  <commentList>
    <comment ref="J4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permette il download anche di parte di altre liste in tabella, ad es. ZEUS</t>
        </r>
      </text>
    </comment>
  </commentList>
</comments>
</file>

<file path=xl/comments3.xml><?xml version="1.0" encoding="utf-8"?>
<comments xmlns="http://schemas.openxmlformats.org/spreadsheetml/2006/main">
  <authors>
    <author>Giovanni Urbinello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Filtraggio sulla probabilità di contenere falsi positivi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permette il download anche di parte di altre liste in tabella, ad es. ZEUS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affidabilità alta, ma non matcha nemmeno 1 su 200</t>
        </r>
      </text>
    </comment>
  </commentList>
</comments>
</file>

<file path=xl/comments4.xml><?xml version="1.0" encoding="utf-8"?>
<comments xmlns="http://schemas.openxmlformats.org/spreadsheetml/2006/main">
  <authors>
    <author>Giovanni Urbinello</author>
  </authors>
  <commentList>
    <comment ref="J7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permette il download anche di parte di altre liste in tabella, ad es. ZEUS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non funziona RSS, ma puoi fare il diff della full list</t>
        </r>
      </text>
    </comment>
  </commentList>
</comments>
</file>

<file path=xl/sharedStrings.xml><?xml version="1.0" encoding="utf-8"?>
<sst xmlns="http://schemas.openxmlformats.org/spreadsheetml/2006/main" count="246" uniqueCount="58">
  <si>
    <t>URL FONTE</t>
  </si>
  <si>
    <t>n ENTRIES</t>
  </si>
  <si>
    <t>http://vxvault.siri-urz.net/ViriList.php</t>
  </si>
  <si>
    <t>http://support.clean-mx.de/clean-mx/viruses.php</t>
  </si>
  <si>
    <t>http://www.nothink.org/honeypots/malware_md5_list.txt</t>
  </si>
  <si>
    <t>Risultato</t>
  </si>
  <si>
    <t>Facilita download</t>
  </si>
  <si>
    <t>Affidabilita</t>
  </si>
  <si>
    <t>zeustracker.abuse.ch</t>
  </si>
  <si>
    <t>http://malc0de.com/database/</t>
  </si>
  <si>
    <t>https://isc.sans.edu/suspicious_domains.html</t>
  </si>
  <si>
    <t>http://www.malwaredomainlist.com/mdl.php</t>
  </si>
  <si>
    <t>http://support.clean-mx.de/clean-mx/viruses</t>
  </si>
  <si>
    <t>http://malwareurls.joxeankoret.com/domains.txt</t>
  </si>
  <si>
    <t>http://www.kleissner.org/text/ZeuSGameover_Domains.txt</t>
  </si>
  <si>
    <t>http://www.blocklist.de/</t>
  </si>
  <si>
    <t>http://www.openbl.org/lists.html</t>
  </si>
  <si>
    <t>http://cybercrime-tracker.net/</t>
  </si>
  <si>
    <t>NO</t>
  </si>
  <si>
    <t>real-time</t>
  </si>
  <si>
    <t>SI</t>
  </si>
  <si>
    <t>Download aggiorn xml rsync</t>
  </si>
  <si>
    <t>FREQ. AGGIORNAMENTO</t>
  </si>
  <si>
    <t>VOTO</t>
  </si>
  <si>
    <t>LOW = 1</t>
  </si>
  <si>
    <t>MEDIUM = 3</t>
  </si>
  <si>
    <t>HIGH = 7</t>
  </si>
  <si>
    <t>REPUTAZIONE  LISTA</t>
  </si>
  <si>
    <t>&lt;40%</t>
  </si>
  <si>
    <t>40-70%</t>
  </si>
  <si>
    <t>&gt; 70%</t>
  </si>
  <si>
    <t>settimanale</t>
  </si>
  <si>
    <t>giornaliera</t>
  </si>
  <si>
    <t>0-5000</t>
  </si>
  <si>
    <t>5000-25000</t>
  </si>
  <si>
    <t>&gt;25000</t>
  </si>
  <si>
    <t>parsing</t>
  </si>
  <si>
    <t>downolad file</t>
  </si>
  <si>
    <t>API-rsync</t>
  </si>
  <si>
    <t>nessuna notizia</t>
  </si>
  <si>
    <t>partner minori</t>
  </si>
  <si>
    <t>partner forti o è uno std usato da altri</t>
  </si>
  <si>
    <t>PESI</t>
  </si>
  <si>
    <t>partner minori, usa virus total</t>
  </si>
  <si>
    <t>Reputazione Iniziale</t>
  </si>
  <si>
    <t>% report sul campione VT(#200)</t>
  </si>
  <si>
    <t>IP/Domain/URL</t>
  </si>
  <si>
    <t>IP</t>
  </si>
  <si>
    <t>Domain</t>
  </si>
  <si>
    <t>URL</t>
  </si>
  <si>
    <t>Risultato %</t>
  </si>
  <si>
    <t>Zeustracker</t>
  </si>
  <si>
    <t>Credibilita</t>
  </si>
  <si>
    <t>ZeusTracker</t>
  </si>
  <si>
    <t>Reputazione Media Lista</t>
  </si>
  <si>
    <t>Valutazione reputazione media</t>
  </si>
  <si>
    <t>Malc0de</t>
  </si>
  <si>
    <t>http://malwareurls.joxeankoret.com/normal.txt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</si>
</sst>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color rgb="FFFF0000"/>
      <name val="Century Gothic"/>
      <family val="2"/>
    </font>
    <font>
      <sz val="12"/>
      <name val="Century Gothic"/>
      <family val="2"/>
    </font>
    <font>
      <b/>
      <sz val="12"/>
      <color theme="1"/>
      <name val="Century Gothic"/>
      <family val="2"/>
    </font>
    <font>
      <b/>
      <sz val="12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6337778862885"/>
        <bgColor theme="4" tint="0.79992065187536243"/>
      </patternFill>
    </fill>
    <fill>
      <patternFill patternType="solid">
        <fgColor rgb="FF00B050"/>
        <bgColor indexed="64"/>
      </patternFill>
    </fill>
    <fill>
      <patternFill patternType="solid">
        <fgColor theme="2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10" fontId="7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10" fontId="7" fillId="0" borderId="0" xfId="0" applyNumberFormat="1" applyFont="1" applyAlignment="1">
      <alignment horizontal="center" wrapText="1"/>
    </xf>
    <xf numFmtId="10" fontId="7" fillId="0" borderId="0" xfId="1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 wrapText="1"/>
    </xf>
    <xf numFmtId="10" fontId="4" fillId="0" borderId="0" xfId="1" applyNumberFormat="1" applyFont="1" applyAlignment="1">
      <alignment horizontal="center" wrapText="1"/>
    </xf>
    <xf numFmtId="0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/>
    <xf numFmtId="10" fontId="4" fillId="0" borderId="0" xfId="1" applyNumberFormat="1" applyFont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2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0" fontId="4" fillId="0" borderId="0" xfId="1" applyNumberFormat="1" applyFont="1" applyFill="1" applyAlignment="1">
      <alignment horizontal="center" wrapText="1"/>
    </xf>
    <xf numFmtId="0" fontId="7" fillId="3" borderId="2" xfId="0" applyNumberFormat="1" applyFont="1" applyFill="1" applyBorder="1" applyAlignment="1">
      <alignment horizontal="center"/>
    </xf>
    <xf numFmtId="0" fontId="4" fillId="0" borderId="0" xfId="0" applyFont="1" applyFill="1"/>
    <xf numFmtId="0" fontId="8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 wrapText="1"/>
    </xf>
    <xf numFmtId="0" fontId="4" fillId="6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 applyAlignment="1">
      <alignment horizontal="left"/>
    </xf>
    <xf numFmtId="10" fontId="4" fillId="0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10" fontId="7" fillId="0" borderId="0" xfId="0" applyNumberFormat="1" applyFont="1" applyAlignment="1">
      <alignment horizontal="center" vertical="center" wrapText="1"/>
    </xf>
    <xf numFmtId="10" fontId="7" fillId="0" borderId="0" xfId="1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 wrapText="1"/>
    </xf>
    <xf numFmtId="10" fontId="4" fillId="0" borderId="0" xfId="1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0" fontId="4" fillId="6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5" borderId="3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2" fontId="7" fillId="4" borderId="2" xfId="0" applyNumberFormat="1" applyFont="1" applyFill="1" applyBorder="1" applyAlignment="1">
      <alignment horizontal="center"/>
    </xf>
    <xf numFmtId="0" fontId="9" fillId="0" borderId="0" xfId="0" applyFont="1"/>
  </cellXfs>
  <cellStyles count="2">
    <cellStyle name="Normale" xfId="0" builtinId="0"/>
    <cellStyle name="Percentuale" xfId="1" builtinId="5"/>
  </cellStyles>
  <dxfs count="95"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2" formatCode="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entury Gothic"/>
        <scheme val="none"/>
      </font>
      <numFmt numFmtId="2" formatCode="0.00"/>
      <fill>
        <patternFill patternType="solid">
          <fgColor theme="4" tint="0.79992065187536243"/>
          <bgColor theme="6" tint="0.599963377788628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numFmt numFmtId="14" formatCode="0.00%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entury Gothic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la1" displayName="Tabella1" ref="A1:L6" totalsRowShown="0" headerRowDxfId="94" dataDxfId="93">
  <autoFilter ref="A1:L6"/>
  <tableColumns count="12">
    <tableColumn id="1" name="URL FONTE" dataDxfId="92"/>
    <tableColumn id="2" name="Reputazione Iniziale" dataDxfId="91"/>
    <tableColumn id="12" name="Valutazione reputazione media" dataDxfId="90"/>
    <tableColumn id="9" name="Reputazione Media Lista" dataDxfId="89" dataCellStyle="Percentuale"/>
    <tableColumn id="10" name="% report sul campione VT(#200)" dataDxfId="88" dataCellStyle="Percentuale"/>
    <tableColumn id="3" name="FREQ. AGGIORNAMENTO" dataDxfId="87"/>
    <tableColumn id="4" name="n ENTRIES" dataDxfId="86"/>
    <tableColumn id="5" name="Facilita download" dataDxfId="85"/>
    <tableColumn id="13" name="Download aggiorn xml rsync" dataDxfId="84"/>
    <tableColumn id="6" name="Credibilita" dataDxfId="83"/>
    <tableColumn id="8" name="Risultato" dataDxfId="82">
      <calculatedColumnFormula>Tabella1[[#This Row],[Valutazione reputazione media]]*C$7+Tabella1[[#This Row],[FREQ. AGGIORNAMENTO]]*F$7+Tabella1[[#This Row],[n ENTRIES]]*G$7+Tabella1[[#This Row],[Facilita download]]*H$7+Tabella1[[#This Row],[Credibilita]]*J$7</calculatedColumnFormula>
    </tableColumn>
    <tableColumn id="7" name="Risultato %" dataDxfId="81">
      <calculatedColumnFormula>Tabella1[[#This Row],[Risultato]]/K$7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la3" displayName="Tabella3" ref="A17:F20" insertRowShift="1" totalsRowShown="0" headerRowDxfId="80" dataDxfId="79" tableBorderDxfId="78">
  <autoFilter ref="A17:F20"/>
  <tableColumns count="6">
    <tableColumn id="1" name="VOTO" dataDxfId="77"/>
    <tableColumn id="2" name="REPUTAZIONE  LISTA" dataDxfId="76"/>
    <tableColumn id="3" name="FREQ. AGGIORNAMENTO" dataDxfId="75"/>
    <tableColumn id="5" name="n ENTRIES" dataDxfId="74"/>
    <tableColumn id="6" name="Facilita download" dataDxfId="73"/>
    <tableColumn id="8" name="Affidabilita" dataDxfId="7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id="2" name="Tabella2" displayName="Tabella2" ref="A1:M7" totalsRowShown="0" headerRowDxfId="71" dataDxfId="70">
  <autoFilter ref="A1:M7"/>
  <tableColumns count="13">
    <tableColumn id="1" name="URL FONTE" dataDxfId="69"/>
    <tableColumn id="12" name="IP/Domain/URL" dataDxfId="68"/>
    <tableColumn id="2" name="Reputazione Iniziale" dataDxfId="67"/>
    <tableColumn id="14" name="Valutazione reputazione media" dataDxfId="66"/>
    <tableColumn id="3" name="Reputazione Media Lista" dataDxfId="65"/>
    <tableColumn id="11" name="% report sul campione VT(#200)" dataDxfId="64" dataCellStyle="Percentuale"/>
    <tableColumn id="4" name="FREQ. AGGIORNAMENTO" dataDxfId="63"/>
    <tableColumn id="5" name="n ENTRIES" dataDxfId="62"/>
    <tableColumn id="6" name="Facilita download" dataDxfId="61"/>
    <tableColumn id="7" name="Download aggiorn xml rsync" dataDxfId="60"/>
    <tableColumn id="8" name="Credibilita" dataDxfId="59"/>
    <tableColumn id="9" name="Risultato" dataDxfId="58">
      <calculatedColumnFormula>Tabella2[[#This Row],[Valutazione reputazione media]]*D$8+Tabella2[[#This Row],[FREQ. AGGIORNAMENTO]]*G$8+Tabella2[[#This Row],[n ENTRIES]]*H$8+Tabella2[[#This Row],[Facilita download]]*I$8+Tabella2[[#This Row],[Credibilita]]*K$8</calculatedColumnFormula>
    </tableColumn>
    <tableColumn id="10" name="Risultato %" dataDxfId="57">
      <calculatedColumnFormula>Tabella2[[#This Row],[Risultato]]/L$8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ella312" displayName="Tabella312" ref="A15:F18" insertRowShift="1" totalsRowShown="0" headerRowDxfId="56" dataDxfId="55" tableBorderDxfId="54">
  <autoFilter ref="A15:F18"/>
  <tableColumns count="6">
    <tableColumn id="1" name="VOTO" dataDxfId="53"/>
    <tableColumn id="2" name="REPUTAZIONE  LISTA" dataDxfId="52"/>
    <tableColumn id="3" name="FREQ. AGGIORNAMENTO" dataDxfId="51"/>
    <tableColumn id="5" name="n ENTRIES" dataDxfId="50"/>
    <tableColumn id="6" name="Facilita download" dataDxfId="49"/>
    <tableColumn id="8" name="Affidabilita" dataDxfId="48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id="8" name="Tabella29" displayName="Tabella29" ref="A1:M8" totalsRowShown="0" headerRowDxfId="47" dataDxfId="46">
  <autoFilter ref="A1:M8"/>
  <tableColumns count="13">
    <tableColumn id="1" name="URL FONTE" dataDxfId="45"/>
    <tableColumn id="12" name="IP/Domain/URL" dataDxfId="44"/>
    <tableColumn id="2" name="Reputazione Iniziale" dataDxfId="43"/>
    <tableColumn id="13" name="Valutazione reputazione media" dataDxfId="42"/>
    <tableColumn id="3" name="Reputazione Media Lista" dataDxfId="41"/>
    <tableColumn id="11" name="% report sul campione VT(#200)" dataDxfId="40" dataCellStyle="Percentuale"/>
    <tableColumn id="4" name="FREQ. AGGIORNAMENTO" dataDxfId="39"/>
    <tableColumn id="5" name="n ENTRIES" dataDxfId="38"/>
    <tableColumn id="6" name="Facilita download" dataDxfId="37"/>
    <tableColumn id="7" name="Download aggiorn xml rsync" dataDxfId="36"/>
    <tableColumn id="8" name="Credibilita" dataDxfId="35"/>
    <tableColumn id="9" name="Risultato" dataDxfId="34">
      <calculatedColumnFormula>Tabella29[[#This Row],[Valutazione reputazione media]]*D$9+Tabella29[[#This Row],[FREQ. AGGIORNAMENTO]]*G$9+Tabella29[[#This Row],[n ENTRIES]]*H$9+Tabella29[[#This Row],[Facilita download]]*I$9+Tabella29[[#This Row],[Credibilita]]*K$9</calculatedColumnFormula>
    </tableColumn>
    <tableColumn id="10" name="Risultato %" dataDxfId="33">
      <calculatedColumnFormula>Tabella29[[#This Row],[Risultato]]/L$9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ella35" displayName="Tabella35" ref="A20:F23" insertRowShift="1" totalsRowShown="0" headerRowDxfId="32" dataDxfId="31" tableBorderDxfId="30">
  <autoFilter ref="A20:F23"/>
  <tableColumns count="6">
    <tableColumn id="1" name="VOTO" dataDxfId="29"/>
    <tableColumn id="2" name="REPUTAZIONE  LISTA" dataDxfId="28"/>
    <tableColumn id="3" name="FREQ. AGGIORNAMENTO" dataDxfId="27"/>
    <tableColumn id="5" name="n ENTRIES" dataDxfId="26"/>
    <tableColumn id="6" name="Facilita download" dataDxfId="25"/>
    <tableColumn id="8" name="Affidabilita" dataDxfId="24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id="9" name="Tabella2910" displayName="Tabella2910" ref="A1:M8" totalsRowShown="0" headerRowDxfId="23" dataDxfId="22">
  <autoFilter ref="A1:M8"/>
  <tableColumns count="13">
    <tableColumn id="1" name="URL FONTE" dataDxfId="21"/>
    <tableColumn id="12" name="IP/Domain/URL" dataDxfId="20"/>
    <tableColumn id="2" name="Reputazione Iniziale" dataDxfId="19"/>
    <tableColumn id="13" name="Valutazione reputazione media" dataDxfId="18"/>
    <tableColumn id="3" name="Reputazione Media Lista" dataDxfId="17"/>
    <tableColumn id="11" name="% report sul campione VT(#200)" dataDxfId="16" dataCellStyle="Percentuale"/>
    <tableColumn id="4" name="FREQ. AGGIORNAMENTO" dataDxfId="15"/>
    <tableColumn id="5" name="n ENTRIES" dataDxfId="14"/>
    <tableColumn id="6" name="Facilita download" dataDxfId="13"/>
    <tableColumn id="7" name="Download aggiorn xml rsync" dataDxfId="12"/>
    <tableColumn id="8" name="Credibilita" dataDxfId="11"/>
    <tableColumn id="9" name="Risultato" dataDxfId="10">
      <calculatedColumnFormula>Tabella2910[[#This Row],[Valutazione reputazione media]]*D$9+Tabella2910[[#This Row],[FREQ. AGGIORNAMENTO]]*G$9+Tabella2910[[#This Row],[n ENTRIES]]*H$9+Tabella2910[[#This Row],[Facilita download]]*I$9+Tabella2910[[#This Row],[Credibilita]]*K$9</calculatedColumnFormula>
    </tableColumn>
    <tableColumn id="10" name="Risultato %" dataDxfId="9">
      <calculatedColumnFormula>Tabella2910[[#This Row],[Risultato]]/L$9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Tabella36" displayName="Tabella36" ref="A16:F19" insertRowShift="1" totalsRowShown="0" headerRowDxfId="8" dataDxfId="7" tableBorderDxfId="6">
  <autoFilter ref="A16:F19"/>
  <tableColumns count="6">
    <tableColumn id="1" name="VOTO" dataDxfId="5"/>
    <tableColumn id="2" name="REPUTAZIONE  LISTA" dataDxfId="4"/>
    <tableColumn id="3" name="FREQ. AGGIORNAMENTO" dataDxfId="3"/>
    <tableColumn id="5" name="n ENTRIES" dataDxfId="2"/>
    <tableColumn id="6" name="Facilita download" dataDxfId="1"/>
    <tableColumn id="8" name="Affidabilita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4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zoomScale="70" zoomScaleNormal="70" workbookViewId="0">
      <selection activeCell="K2" sqref="K2:K7"/>
    </sheetView>
  </sheetViews>
  <sheetFormatPr defaultRowHeight="17.25" x14ac:dyDescent="0.3"/>
  <cols>
    <col min="1" max="1" width="53.7109375" style="15" customWidth="1"/>
    <col min="2" max="2" width="18.140625" style="15" customWidth="1"/>
    <col min="3" max="3" width="19.28515625" style="15" customWidth="1"/>
    <col min="4" max="4" width="19.5703125" style="15" customWidth="1"/>
    <col min="5" max="5" width="15.28515625" style="15" customWidth="1"/>
    <col min="6" max="6" width="25.28515625" style="15" customWidth="1"/>
    <col min="7" max="7" width="21.85546875" style="15" customWidth="1"/>
    <col min="8" max="8" width="19.5703125" style="15" customWidth="1"/>
    <col min="9" max="9" width="20" style="15" customWidth="1"/>
    <col min="10" max="10" width="19.5703125" style="15" customWidth="1"/>
    <col min="11" max="11" width="11.7109375" style="15" customWidth="1"/>
    <col min="12" max="12" width="15.42578125" style="15" bestFit="1" customWidth="1"/>
    <col min="13" max="16384" width="9.140625" style="15"/>
  </cols>
  <sheetData>
    <row r="1" spans="1:13" s="1" customFormat="1" ht="48" customHeight="1" x14ac:dyDescent="0.25">
      <c r="A1" s="1" t="s">
        <v>0</v>
      </c>
      <c r="B1" s="1" t="s">
        <v>44</v>
      </c>
      <c r="C1" s="1" t="s">
        <v>55</v>
      </c>
      <c r="D1" s="1" t="s">
        <v>54</v>
      </c>
      <c r="E1" s="1" t="s">
        <v>45</v>
      </c>
      <c r="F1" s="1" t="s">
        <v>22</v>
      </c>
      <c r="G1" s="1" t="s">
        <v>1</v>
      </c>
      <c r="H1" s="1" t="s">
        <v>6</v>
      </c>
      <c r="I1" s="1" t="s">
        <v>21</v>
      </c>
      <c r="J1" s="1" t="s">
        <v>52</v>
      </c>
      <c r="K1" s="2" t="s">
        <v>5</v>
      </c>
      <c r="L1" s="1" t="s">
        <v>50</v>
      </c>
    </row>
    <row r="2" spans="1:13" s="7" customFormat="1" ht="15" customHeight="1" x14ac:dyDescent="0.3">
      <c r="A2" s="5" t="s">
        <v>53</v>
      </c>
      <c r="B2" s="25" t="s">
        <v>18</v>
      </c>
      <c r="C2" s="25">
        <v>7</v>
      </c>
      <c r="D2" s="4">
        <v>0.82050000000000001</v>
      </c>
      <c r="E2" s="4">
        <v>1</v>
      </c>
      <c r="F2" s="5">
        <v>7</v>
      </c>
      <c r="G2" s="5">
        <v>3</v>
      </c>
      <c r="H2" s="5">
        <v>3</v>
      </c>
      <c r="I2" s="5" t="s">
        <v>20</v>
      </c>
      <c r="J2" s="13">
        <v>7</v>
      </c>
      <c r="K2" s="66">
        <f>Tabella1[[#This Row],[Valutazione reputazione media]]*C$7+Tabella1[[#This Row],[FREQ. AGGIORNAMENTO]]*F$7+Tabella1[[#This Row],[n ENTRIES]]*G$7+Tabella1[[#This Row],[Facilita download]]*H$7+Tabella1[[#This Row],[Credibilita]]*J$7</f>
        <v>5.8000000000000007</v>
      </c>
      <c r="L2" s="6">
        <f>Tabella1[[#This Row],[Risultato]]/K$7</f>
        <v>0.38666666666666671</v>
      </c>
    </row>
    <row r="3" spans="1:13" x14ac:dyDescent="0.3">
      <c r="A3" s="23" t="s">
        <v>9</v>
      </c>
      <c r="B3" s="26" t="s">
        <v>18</v>
      </c>
      <c r="C3" s="26">
        <v>1</v>
      </c>
      <c r="D3" s="27">
        <v>0.30080000000000001</v>
      </c>
      <c r="E3" s="27">
        <f>113/200</f>
        <v>0.56499999999999995</v>
      </c>
      <c r="F3" s="15">
        <v>3</v>
      </c>
      <c r="G3" s="15">
        <v>7</v>
      </c>
      <c r="H3" s="15">
        <v>1</v>
      </c>
      <c r="I3" s="22" t="s">
        <v>20</v>
      </c>
      <c r="J3" s="28">
        <v>3</v>
      </c>
      <c r="K3" s="66">
        <f>Tabella1[[#This Row],[Valutazione reputazione media]]*C$7+Tabella1[[#This Row],[FREQ. AGGIORNAMENTO]]*F$7+Tabella1[[#This Row],[n ENTRIES]]*G$7+Tabella1[[#This Row],[Facilita download]]*H$7+Tabella1[[#This Row],[Credibilita]]*J$7</f>
        <v>2.5000000000000004</v>
      </c>
      <c r="L3" s="6">
        <f>Tabella1[[#This Row],[Risultato]]/K$7</f>
        <v>0.16666666666666669</v>
      </c>
    </row>
    <row r="4" spans="1:13" x14ac:dyDescent="0.3">
      <c r="A4" s="20" t="s">
        <v>3</v>
      </c>
      <c r="B4" s="15" t="s">
        <v>20</v>
      </c>
      <c r="C4" s="15">
        <v>1</v>
      </c>
      <c r="D4" s="17">
        <v>0.2361</v>
      </c>
      <c r="E4" s="17">
        <v>1</v>
      </c>
      <c r="F4" s="15">
        <v>1</v>
      </c>
      <c r="G4" s="15">
        <v>7</v>
      </c>
      <c r="H4" s="15">
        <v>3</v>
      </c>
      <c r="I4" s="24" t="s">
        <v>20</v>
      </c>
      <c r="J4" s="15">
        <v>3</v>
      </c>
      <c r="K4" s="66">
        <f>Tabella1[[#This Row],[Valutazione reputazione media]]*C$7+Tabella1[[#This Row],[FREQ. AGGIORNAMENTO]]*F$7+Tabella1[[#This Row],[n ENTRIES]]*G$7+Tabella1[[#This Row],[Facilita download]]*H$7+Tabella1[[#This Row],[Credibilita]]*J$7</f>
        <v>2.1</v>
      </c>
      <c r="L4" s="6">
        <f>Tabella1[[#This Row],[Risultato]]/K$7</f>
        <v>0.14000000000000001</v>
      </c>
    </row>
    <row r="5" spans="1:13" x14ac:dyDescent="0.3">
      <c r="A5" s="29" t="s">
        <v>4</v>
      </c>
      <c r="B5" s="15" t="s">
        <v>18</v>
      </c>
      <c r="C5" s="15">
        <v>1</v>
      </c>
      <c r="D5" s="17">
        <v>0</v>
      </c>
      <c r="E5" s="17">
        <v>0</v>
      </c>
      <c r="F5" s="15">
        <v>3</v>
      </c>
      <c r="G5" s="15">
        <v>3</v>
      </c>
      <c r="H5" s="15">
        <v>3</v>
      </c>
      <c r="I5" s="22" t="s">
        <v>20</v>
      </c>
      <c r="J5" s="15">
        <v>3</v>
      </c>
      <c r="K5" s="66">
        <f>Tabella1[[#This Row],[Valutazione reputazione media]]*C$7+Tabella1[[#This Row],[FREQ. AGGIORNAMENTO]]*F$7+Tabella1[[#This Row],[n ENTRIES]]*G$7+Tabella1[[#This Row],[Facilita download]]*H$7+Tabella1[[#This Row],[Credibilita]]*J$7</f>
        <v>2.5000000000000004</v>
      </c>
      <c r="L5" s="6">
        <f>Tabella1[[#This Row],[Risultato]]/K$7</f>
        <v>0.16666666666666669</v>
      </c>
    </row>
    <row r="6" spans="1:13" x14ac:dyDescent="0.3">
      <c r="A6" s="3" t="s">
        <v>11</v>
      </c>
      <c r="B6" s="15" t="s">
        <v>18</v>
      </c>
      <c r="C6" s="15">
        <v>1</v>
      </c>
      <c r="D6" s="17">
        <v>0</v>
      </c>
      <c r="E6" s="17">
        <v>0</v>
      </c>
      <c r="F6" s="15">
        <v>3</v>
      </c>
      <c r="G6" s="15">
        <v>3</v>
      </c>
      <c r="H6" s="15">
        <v>1</v>
      </c>
      <c r="I6" s="15" t="s">
        <v>20</v>
      </c>
      <c r="J6" s="18">
        <v>3</v>
      </c>
      <c r="K6" s="66">
        <f>Tabella1[[#This Row],[Valutazione reputazione media]]*C$7+Tabella1[[#This Row],[FREQ. AGGIORNAMENTO]]*F$7+Tabella1[[#This Row],[n ENTRIES]]*G$7+Tabella1[[#This Row],[Facilita download]]*H$7+Tabella1[[#This Row],[Credibilita]]*J$7</f>
        <v>2.1</v>
      </c>
      <c r="L6" s="6">
        <f>Tabella1[[#This Row],[Risultato]]/K$7</f>
        <v>0.14000000000000001</v>
      </c>
    </row>
    <row r="7" spans="1:13" x14ac:dyDescent="0.3">
      <c r="A7" s="30" t="s">
        <v>42</v>
      </c>
      <c r="B7" s="31"/>
      <c r="C7" s="32">
        <v>0.25</v>
      </c>
      <c r="D7" s="33"/>
      <c r="E7" s="31"/>
      <c r="F7" s="31">
        <v>0.4</v>
      </c>
      <c r="G7" s="31">
        <v>0.1</v>
      </c>
      <c r="H7" s="33">
        <v>0.2</v>
      </c>
      <c r="I7" s="33"/>
      <c r="J7" s="33">
        <v>0.05</v>
      </c>
      <c r="K7" s="63">
        <f>SUM(Tabella1[Risultato])</f>
        <v>15</v>
      </c>
    </row>
    <row r="8" spans="1:13" s="34" customFormat="1" x14ac:dyDescent="0.3"/>
    <row r="9" spans="1:13" s="34" customFormat="1" x14ac:dyDescent="0.3"/>
    <row r="10" spans="1:13" s="20" customFormat="1" x14ac:dyDescent="0.3">
      <c r="A10" s="15"/>
      <c r="B10" s="11"/>
      <c r="C10" s="15"/>
      <c r="D10" s="19"/>
      <c r="E10" s="21"/>
      <c r="F10" s="15"/>
      <c r="G10" s="15"/>
      <c r="H10" s="15"/>
      <c r="I10" s="15"/>
      <c r="J10" s="18"/>
      <c r="K10" s="18"/>
      <c r="L10" s="19"/>
    </row>
    <row r="11" spans="1:13" x14ac:dyDescent="0.3">
      <c r="A11" s="35"/>
      <c r="B11" s="36"/>
      <c r="I11" s="37"/>
    </row>
    <row r="13" spans="1:13" ht="15" customHeight="1" x14ac:dyDescent="0.3">
      <c r="M13" s="37"/>
    </row>
    <row r="14" spans="1:13" x14ac:dyDescent="0.3">
      <c r="G14" s="38"/>
    </row>
    <row r="17" spans="1:14" ht="45" x14ac:dyDescent="0.3">
      <c r="A17" s="39" t="s">
        <v>23</v>
      </c>
      <c r="B17" s="40" t="s">
        <v>27</v>
      </c>
      <c r="C17" s="40" t="s">
        <v>22</v>
      </c>
      <c r="D17" s="40" t="s">
        <v>1</v>
      </c>
      <c r="E17" s="40" t="s">
        <v>6</v>
      </c>
      <c r="F17" s="40" t="s">
        <v>7</v>
      </c>
    </row>
    <row r="18" spans="1:14" ht="24.95" customHeight="1" x14ac:dyDescent="0.3">
      <c r="A18" s="39" t="s">
        <v>24</v>
      </c>
      <c r="B18" s="39" t="s">
        <v>28</v>
      </c>
      <c r="C18" s="39" t="s">
        <v>31</v>
      </c>
      <c r="D18" s="39" t="s">
        <v>33</v>
      </c>
      <c r="E18" s="39" t="s">
        <v>36</v>
      </c>
      <c r="F18" s="39" t="s">
        <v>39</v>
      </c>
    </row>
    <row r="19" spans="1:14" ht="35.1" customHeight="1" x14ac:dyDescent="0.3">
      <c r="A19" s="39" t="s">
        <v>25</v>
      </c>
      <c r="B19" s="39" t="s">
        <v>29</v>
      </c>
      <c r="C19" s="39" t="s">
        <v>32</v>
      </c>
      <c r="D19" s="39" t="s">
        <v>34</v>
      </c>
      <c r="E19" s="39" t="s">
        <v>37</v>
      </c>
      <c r="F19" s="40" t="s">
        <v>43</v>
      </c>
    </row>
    <row r="20" spans="1:14" ht="33" customHeight="1" x14ac:dyDescent="0.3">
      <c r="A20" s="39" t="s">
        <v>26</v>
      </c>
      <c r="B20" s="39" t="s">
        <v>30</v>
      </c>
      <c r="C20" s="39" t="s">
        <v>19</v>
      </c>
      <c r="D20" s="39" t="s">
        <v>35</v>
      </c>
      <c r="E20" s="39" t="s">
        <v>38</v>
      </c>
      <c r="F20" s="40" t="s">
        <v>41</v>
      </c>
    </row>
    <row r="21" spans="1:14" x14ac:dyDescent="0.3">
      <c r="M21" s="37"/>
    </row>
    <row r="22" spans="1:14" x14ac:dyDescent="0.3">
      <c r="N22" s="38"/>
    </row>
    <row r="23" spans="1:14" x14ac:dyDescent="0.3">
      <c r="F23" s="26"/>
      <c r="N23" s="38"/>
    </row>
    <row r="24" spans="1:14" x14ac:dyDescent="0.3">
      <c r="B24" s="34"/>
      <c r="C24" s="34"/>
      <c r="D24" s="34"/>
      <c r="E24" s="34"/>
      <c r="F24" s="34"/>
      <c r="G24" s="34"/>
      <c r="H24" s="34"/>
      <c r="N24" s="38"/>
    </row>
    <row r="25" spans="1:14" x14ac:dyDescent="0.3">
      <c r="B25" s="34"/>
      <c r="C25" s="34"/>
      <c r="D25" s="34"/>
      <c r="E25" s="34"/>
      <c r="F25" s="34"/>
      <c r="G25" s="34"/>
      <c r="H25" s="34"/>
      <c r="N25" s="38"/>
    </row>
    <row r="26" spans="1:14" x14ac:dyDescent="0.3">
      <c r="B26" s="34"/>
      <c r="C26" s="34"/>
      <c r="D26" s="34"/>
      <c r="E26" s="34"/>
      <c r="F26" s="34"/>
      <c r="G26" s="34"/>
      <c r="H26" s="34"/>
      <c r="N26" s="38"/>
    </row>
    <row r="27" spans="1:14" x14ac:dyDescent="0.3">
      <c r="F27" s="37"/>
    </row>
    <row r="28" spans="1:14" x14ac:dyDescent="0.3">
      <c r="G28" s="38"/>
    </row>
  </sheetData>
  <pageMargins left="0.7" right="0.7" top="0.75" bottom="0.75" header="0.3" footer="0.3"/>
  <pageSetup paperSize="9" orientation="portrait" horizontalDpi="4294967293"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5"/>
  <sheetViews>
    <sheetView zoomScale="55" zoomScaleNormal="55" workbookViewId="0">
      <selection activeCell="C3" sqref="C3"/>
    </sheetView>
  </sheetViews>
  <sheetFormatPr defaultRowHeight="17.25" x14ac:dyDescent="0.3"/>
  <cols>
    <col min="1" max="1" width="66.7109375" style="15" customWidth="1"/>
    <col min="2" max="2" width="13.5703125" style="15" customWidth="1"/>
    <col min="3" max="3" width="19.85546875" style="15" customWidth="1"/>
    <col min="4" max="4" width="18.5703125" style="15" customWidth="1"/>
    <col min="5" max="5" width="21.28515625" style="15" bestFit="1" customWidth="1"/>
    <col min="6" max="6" width="28" style="15" customWidth="1"/>
    <col min="7" max="7" width="19.5703125" style="15" customWidth="1"/>
    <col min="8" max="8" width="20" style="15" customWidth="1"/>
    <col min="9" max="9" width="21.42578125" style="15" customWidth="1"/>
    <col min="10" max="10" width="18.85546875" style="15" customWidth="1"/>
    <col min="11" max="11" width="15.42578125" style="15" bestFit="1" customWidth="1"/>
    <col min="12" max="12" width="11.7109375" style="15" customWidth="1"/>
    <col min="13" max="16384" width="9.140625" style="15"/>
  </cols>
  <sheetData>
    <row r="1" spans="1:13" s="11" customFormat="1" ht="48" customHeight="1" x14ac:dyDescent="0.25">
      <c r="A1" s="1" t="s">
        <v>0</v>
      </c>
      <c r="B1" s="1" t="s">
        <v>46</v>
      </c>
      <c r="C1" s="1" t="s">
        <v>44</v>
      </c>
      <c r="D1" s="1" t="s">
        <v>55</v>
      </c>
      <c r="E1" s="1" t="s">
        <v>54</v>
      </c>
      <c r="F1" s="1" t="s">
        <v>45</v>
      </c>
      <c r="G1" s="1" t="s">
        <v>22</v>
      </c>
      <c r="H1" s="1" t="s">
        <v>1</v>
      </c>
      <c r="I1" s="1" t="s">
        <v>6</v>
      </c>
      <c r="J1" s="1" t="s">
        <v>21</v>
      </c>
      <c r="K1" s="1" t="s">
        <v>52</v>
      </c>
      <c r="L1" s="2" t="s">
        <v>5</v>
      </c>
      <c r="M1" s="1" t="s">
        <v>50</v>
      </c>
    </row>
    <row r="2" spans="1:13" x14ac:dyDescent="0.3">
      <c r="A2" s="42" t="s">
        <v>8</v>
      </c>
      <c r="B2" s="11" t="s">
        <v>47</v>
      </c>
      <c r="C2" s="15" t="s">
        <v>18</v>
      </c>
      <c r="D2" s="15">
        <v>1</v>
      </c>
      <c r="E2" s="19">
        <v>3.5400000000000001E-2</v>
      </c>
      <c r="F2" s="21">
        <v>0.95</v>
      </c>
      <c r="G2" s="15">
        <v>7</v>
      </c>
      <c r="H2" s="15">
        <v>3</v>
      </c>
      <c r="I2" s="15">
        <v>3</v>
      </c>
      <c r="J2" s="15" t="s">
        <v>20</v>
      </c>
      <c r="K2" s="18">
        <v>7</v>
      </c>
      <c r="L2" s="62">
        <f>Tabella2[[#This Row],[Valutazione reputazione media]]*D$8+Tabella2[[#This Row],[FREQ. AGGIORNAMENTO]]*G$8+Tabella2[[#This Row],[n ENTRIES]]*H$8+Tabella2[[#This Row],[Facilita download]]*I$8+Tabella2[[#This Row],[Credibilita]]*K$8</f>
        <v>4.3000000000000007</v>
      </c>
      <c r="M2" s="19">
        <f>Tabella2[[#This Row],[Risultato]]/L$8</f>
        <v>0.27044025157232709</v>
      </c>
    </row>
    <row r="3" spans="1:13" x14ac:dyDescent="0.3">
      <c r="A3" s="42" t="s">
        <v>9</v>
      </c>
      <c r="B3" s="11" t="s">
        <v>47</v>
      </c>
      <c r="C3" s="26" t="s">
        <v>18</v>
      </c>
      <c r="D3" s="15">
        <v>1</v>
      </c>
      <c r="E3" s="43">
        <v>9.5999999999999992E-3</v>
      </c>
      <c r="F3" s="27">
        <f>162/200</f>
        <v>0.81</v>
      </c>
      <c r="G3" s="15">
        <v>3</v>
      </c>
      <c r="H3" s="15">
        <v>7</v>
      </c>
      <c r="I3" s="15">
        <v>1</v>
      </c>
      <c r="J3" s="22" t="s">
        <v>20</v>
      </c>
      <c r="K3" s="22">
        <v>3</v>
      </c>
      <c r="L3" s="62">
        <f>Tabella2[[#This Row],[Valutazione reputazione media]]*D$8+Tabella2[[#This Row],[FREQ. AGGIORNAMENTO]]*G$8+Tabella2[[#This Row],[n ENTRIES]]*H$8+Tabella2[[#This Row],[Facilita download]]*I$8+Tabella2[[#This Row],[Credibilita]]*K$8</f>
        <v>2.5000000000000004</v>
      </c>
      <c r="M3" s="19">
        <f>Tabella2[[#This Row],[Risultato]]/L$8</f>
        <v>0.15723270440251574</v>
      </c>
    </row>
    <row r="4" spans="1:13" x14ac:dyDescent="0.3">
      <c r="A4" s="20" t="s">
        <v>11</v>
      </c>
      <c r="B4" s="11" t="s">
        <v>47</v>
      </c>
      <c r="C4" s="15" t="s">
        <v>18</v>
      </c>
      <c r="D4" s="15">
        <v>1</v>
      </c>
      <c r="E4" s="19">
        <v>2.0799999999999999E-2</v>
      </c>
      <c r="F4" s="21">
        <v>1</v>
      </c>
      <c r="G4" s="15">
        <v>3</v>
      </c>
      <c r="H4" s="15">
        <v>3</v>
      </c>
      <c r="I4" s="15">
        <v>1</v>
      </c>
      <c r="J4" s="15" t="s">
        <v>20</v>
      </c>
      <c r="K4" s="18">
        <v>3</v>
      </c>
      <c r="L4" s="62">
        <f>Tabella2[[#This Row],[Valutazione reputazione media]]*D$8+Tabella2[[#This Row],[FREQ. AGGIORNAMENTO]]*G$8+Tabella2[[#This Row],[n ENTRIES]]*H$8+Tabella2[[#This Row],[Facilita download]]*I$8+Tabella2[[#This Row],[Credibilita]]*K$8</f>
        <v>2.1</v>
      </c>
      <c r="M4" s="19">
        <f>Tabella2[[#This Row],[Risultato]]/L$8</f>
        <v>0.13207547169811321</v>
      </c>
    </row>
    <row r="5" spans="1:13" x14ac:dyDescent="0.3">
      <c r="A5" s="14" t="s">
        <v>12</v>
      </c>
      <c r="B5" s="11" t="s">
        <v>47</v>
      </c>
      <c r="C5" s="15" t="s">
        <v>20</v>
      </c>
      <c r="D5" s="15">
        <v>1</v>
      </c>
      <c r="E5" s="16">
        <v>3.7000000000000002E-3</v>
      </c>
      <c r="F5" s="17">
        <v>0.57499999999999996</v>
      </c>
      <c r="G5" s="15">
        <v>1</v>
      </c>
      <c r="H5" s="15">
        <v>7</v>
      </c>
      <c r="I5" s="15">
        <v>3</v>
      </c>
      <c r="J5" s="22" t="s">
        <v>20</v>
      </c>
      <c r="K5" s="15">
        <v>3</v>
      </c>
      <c r="L5" s="62">
        <f>Tabella2[[#This Row],[Valutazione reputazione media]]*D$8+Tabella2[[#This Row],[FREQ. AGGIORNAMENTO]]*G$8+Tabella2[[#This Row],[n ENTRIES]]*H$8+Tabella2[[#This Row],[Facilita download]]*I$8+Tabella2[[#This Row],[Credibilita]]*K$8</f>
        <v>2.1</v>
      </c>
      <c r="M5" s="19">
        <f>Tabella2[[#This Row],[Risultato]]/L$8</f>
        <v>0.13207547169811321</v>
      </c>
    </row>
    <row r="6" spans="1:13" x14ac:dyDescent="0.3">
      <c r="A6" s="3" t="s">
        <v>15</v>
      </c>
      <c r="B6" s="12" t="s">
        <v>47</v>
      </c>
      <c r="C6" s="15" t="s">
        <v>18</v>
      </c>
      <c r="D6" s="15">
        <v>1</v>
      </c>
      <c r="E6" s="19">
        <v>6.9999999999999999E-4</v>
      </c>
      <c r="F6" s="21">
        <f>84/200</f>
        <v>0.42</v>
      </c>
      <c r="G6" s="15">
        <v>3</v>
      </c>
      <c r="H6" s="15">
        <v>1</v>
      </c>
      <c r="I6" s="15">
        <v>3</v>
      </c>
      <c r="J6" s="15" t="s">
        <v>20</v>
      </c>
      <c r="K6" s="18">
        <v>7</v>
      </c>
      <c r="L6" s="62">
        <f>Tabella2[[#This Row],[Valutazione reputazione media]]*D$8+Tabella2[[#This Row],[FREQ. AGGIORNAMENTO]]*G$8+Tabella2[[#This Row],[n ENTRIES]]*H$8+Tabella2[[#This Row],[Facilita download]]*I$8+Tabella2[[#This Row],[Credibilita]]*K$8</f>
        <v>2.5000000000000004</v>
      </c>
      <c r="M6" s="19">
        <f>Tabella2[[#This Row],[Risultato]]/L$8</f>
        <v>0.15723270440251574</v>
      </c>
    </row>
    <row r="7" spans="1:13" x14ac:dyDescent="0.3">
      <c r="A7" s="42" t="s">
        <v>16</v>
      </c>
      <c r="B7" s="11" t="s">
        <v>47</v>
      </c>
      <c r="C7" s="15" t="s">
        <v>18</v>
      </c>
      <c r="D7" s="15">
        <v>1</v>
      </c>
      <c r="E7" s="19">
        <v>1.1999999999999999E-3</v>
      </c>
      <c r="F7" s="21">
        <v>0.36</v>
      </c>
      <c r="G7" s="15">
        <v>3</v>
      </c>
      <c r="H7" s="15">
        <v>3</v>
      </c>
      <c r="I7" s="15">
        <v>3</v>
      </c>
      <c r="J7" s="15" t="s">
        <v>20</v>
      </c>
      <c r="K7" s="18">
        <v>1</v>
      </c>
      <c r="L7" s="62">
        <f>Tabella2[[#This Row],[Valutazione reputazione media]]*D$8+Tabella2[[#This Row],[FREQ. AGGIORNAMENTO]]*G$8+Tabella2[[#This Row],[n ENTRIES]]*H$8+Tabella2[[#This Row],[Facilita download]]*I$8+Tabella2[[#This Row],[Credibilita]]*K$8</f>
        <v>2.4000000000000004</v>
      </c>
      <c r="M7" s="19">
        <f>Tabella2[[#This Row],[Risultato]]/L$8</f>
        <v>0.15094339622641512</v>
      </c>
    </row>
    <row r="8" spans="1:13" x14ac:dyDescent="0.3">
      <c r="A8" s="30" t="s">
        <v>42</v>
      </c>
      <c r="B8" s="31"/>
      <c r="C8" s="32"/>
      <c r="D8" s="32">
        <v>0.25</v>
      </c>
      <c r="E8" s="31"/>
      <c r="F8" s="31"/>
      <c r="G8" s="31">
        <v>0.4</v>
      </c>
      <c r="H8" s="31">
        <v>0.1</v>
      </c>
      <c r="I8" s="33">
        <v>0.2</v>
      </c>
      <c r="J8" s="33"/>
      <c r="K8" s="33">
        <v>0.05</v>
      </c>
      <c r="L8" s="63">
        <f>SUM(Tabella2[Risultato])</f>
        <v>15.9</v>
      </c>
    </row>
    <row r="9" spans="1:13" x14ac:dyDescent="0.3">
      <c r="A9" s="42"/>
      <c r="H9" s="18"/>
    </row>
    <row r="10" spans="1:13" x14ac:dyDescent="0.3">
      <c r="A10" s="42"/>
      <c r="H10" s="18"/>
    </row>
    <row r="15" spans="1:13" ht="45" x14ac:dyDescent="0.3">
      <c r="A15" s="39" t="s">
        <v>23</v>
      </c>
      <c r="B15" s="40" t="s">
        <v>27</v>
      </c>
      <c r="C15" s="40" t="s">
        <v>22</v>
      </c>
      <c r="D15" s="40" t="s">
        <v>1</v>
      </c>
      <c r="E15" s="40" t="s">
        <v>6</v>
      </c>
      <c r="F15" s="40" t="s">
        <v>7</v>
      </c>
    </row>
    <row r="16" spans="1:13" ht="39.950000000000003" customHeight="1" x14ac:dyDescent="0.3">
      <c r="A16" s="39" t="s">
        <v>24</v>
      </c>
      <c r="B16" s="39" t="s">
        <v>28</v>
      </c>
      <c r="C16" s="39" t="s">
        <v>31</v>
      </c>
      <c r="D16" s="39" t="s">
        <v>33</v>
      </c>
      <c r="E16" s="39" t="s">
        <v>36</v>
      </c>
      <c r="F16" s="39" t="s">
        <v>39</v>
      </c>
    </row>
    <row r="17" spans="1:7" ht="39.950000000000003" customHeight="1" x14ac:dyDescent="0.3">
      <c r="A17" s="39" t="s">
        <v>25</v>
      </c>
      <c r="B17" s="39" t="s">
        <v>29</v>
      </c>
      <c r="C17" s="39" t="s">
        <v>32</v>
      </c>
      <c r="D17" s="39" t="s">
        <v>34</v>
      </c>
      <c r="E17" s="39" t="s">
        <v>37</v>
      </c>
      <c r="F17" s="39" t="s">
        <v>40</v>
      </c>
    </row>
    <row r="18" spans="1:7" ht="60" customHeight="1" x14ac:dyDescent="0.3">
      <c r="A18" s="39" t="s">
        <v>26</v>
      </c>
      <c r="B18" s="39" t="s">
        <v>30</v>
      </c>
      <c r="C18" s="39" t="s">
        <v>19</v>
      </c>
      <c r="D18" s="39" t="s">
        <v>35</v>
      </c>
      <c r="E18" s="39" t="s">
        <v>38</v>
      </c>
      <c r="F18" s="40" t="s">
        <v>41</v>
      </c>
    </row>
    <row r="20" spans="1:7" x14ac:dyDescent="0.3">
      <c r="D20" s="37"/>
      <c r="G20" s="37"/>
    </row>
    <row r="21" spans="1:7" x14ac:dyDescent="0.3">
      <c r="E21" s="38"/>
    </row>
    <row r="22" spans="1:7" x14ac:dyDescent="0.3">
      <c r="E22" s="38"/>
    </row>
    <row r="23" spans="1:7" x14ac:dyDescent="0.3">
      <c r="E23" s="38"/>
    </row>
    <row r="24" spans="1:7" x14ac:dyDescent="0.3">
      <c r="E24" s="38"/>
    </row>
    <row r="25" spans="1:7" x14ac:dyDescent="0.3">
      <c r="E25" s="38"/>
    </row>
  </sheetData>
  <pageMargins left="0.7" right="0.7" top="0.75" bottom="0.75" header="0.3" footer="0.3"/>
  <pageSetup paperSize="9" orientation="portrait" horizontalDpi="4294967293"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zoomScale="55" zoomScaleNormal="55" workbookViewId="0">
      <selection activeCell="A5" sqref="A5:K5"/>
    </sheetView>
  </sheetViews>
  <sheetFormatPr defaultRowHeight="17.25" x14ac:dyDescent="0.3"/>
  <cols>
    <col min="1" max="1" width="66.140625" style="20" customWidth="1"/>
    <col min="2" max="2" width="11.28515625" style="20" customWidth="1"/>
    <col min="3" max="3" width="19.85546875" style="20" customWidth="1"/>
    <col min="4" max="4" width="18.5703125" style="20" customWidth="1"/>
    <col min="5" max="5" width="21.42578125" style="20" bestFit="1" customWidth="1"/>
    <col min="6" max="6" width="21.5703125" style="20" customWidth="1"/>
    <col min="7" max="7" width="23.140625" style="20" customWidth="1"/>
    <col min="8" max="8" width="20" style="20" customWidth="1"/>
    <col min="9" max="9" width="21.42578125" style="20" customWidth="1"/>
    <col min="10" max="10" width="18.85546875" style="20" customWidth="1"/>
    <col min="11" max="11" width="15.5703125" style="20" bestFit="1" customWidth="1"/>
    <col min="12" max="12" width="11.7109375" style="20" customWidth="1"/>
    <col min="13" max="13" width="10.42578125" style="20" bestFit="1" customWidth="1"/>
    <col min="14" max="16384" width="9.140625" style="20"/>
  </cols>
  <sheetData>
    <row r="1" spans="1:13" ht="45" x14ac:dyDescent="0.3">
      <c r="A1" s="1" t="s">
        <v>0</v>
      </c>
      <c r="B1" s="1" t="s">
        <v>46</v>
      </c>
      <c r="C1" s="1" t="s">
        <v>44</v>
      </c>
      <c r="D1" s="1" t="s">
        <v>55</v>
      </c>
      <c r="E1" s="1" t="s">
        <v>54</v>
      </c>
      <c r="F1" s="1" t="s">
        <v>45</v>
      </c>
      <c r="G1" s="1" t="s">
        <v>22</v>
      </c>
      <c r="H1" s="1" t="s">
        <v>1</v>
      </c>
      <c r="I1" s="1" t="s">
        <v>6</v>
      </c>
      <c r="J1" s="1" t="s">
        <v>21</v>
      </c>
      <c r="K1" s="1" t="s">
        <v>52</v>
      </c>
      <c r="L1" s="2" t="s">
        <v>5</v>
      </c>
      <c r="M1" s="1" t="s">
        <v>50</v>
      </c>
    </row>
    <row r="2" spans="1:13" s="41" customFormat="1" x14ac:dyDescent="0.3">
      <c r="A2" s="3" t="s">
        <v>51</v>
      </c>
      <c r="B2" s="12" t="s">
        <v>48</v>
      </c>
      <c r="C2" s="8" t="s">
        <v>18</v>
      </c>
      <c r="D2" s="8">
        <v>1</v>
      </c>
      <c r="E2" s="9">
        <v>4.5400000000000003E-2</v>
      </c>
      <c r="F2" s="10">
        <f>19/25</f>
        <v>0.76</v>
      </c>
      <c r="G2" s="5">
        <v>7</v>
      </c>
      <c r="H2" s="5">
        <v>3</v>
      </c>
      <c r="I2" s="5">
        <v>3</v>
      </c>
      <c r="J2" s="5" t="s">
        <v>20</v>
      </c>
      <c r="K2" s="13">
        <v>7</v>
      </c>
      <c r="L2" s="61">
        <f>Tabella29[[#This Row],[Valutazione reputazione media]]*D$9+Tabella29[[#This Row],[FREQ. AGGIORNAMENTO]]*G$9+Tabella29[[#This Row],[n ENTRIES]]*H$9+Tabella29[[#This Row],[Facilita download]]*I$9+Tabella29[[#This Row],[Credibilita]]*K$9</f>
        <v>4.3000000000000007</v>
      </c>
      <c r="M2" s="9">
        <f>Tabella29[[#This Row],[Risultato]]/L$9</f>
        <v>0.23626373626373626</v>
      </c>
    </row>
    <row r="3" spans="1:13" x14ac:dyDescent="0.3">
      <c r="A3" s="42" t="s">
        <v>9</v>
      </c>
      <c r="B3" s="11" t="s">
        <v>48</v>
      </c>
      <c r="C3" s="26" t="s">
        <v>18</v>
      </c>
      <c r="D3" s="26">
        <v>1</v>
      </c>
      <c r="E3" s="43">
        <v>5.8200000000000002E-2</v>
      </c>
      <c r="F3" s="27">
        <v>0.995</v>
      </c>
      <c r="G3" s="15">
        <v>3</v>
      </c>
      <c r="H3" s="15">
        <v>7</v>
      </c>
      <c r="I3" s="15">
        <v>1</v>
      </c>
      <c r="J3" s="22" t="s">
        <v>20</v>
      </c>
      <c r="K3" s="28">
        <v>3</v>
      </c>
      <c r="L3" s="61">
        <f>Tabella29[[#This Row],[Valutazione reputazione media]]*D$9+Tabella29[[#This Row],[FREQ. AGGIORNAMENTO]]*G$9+Tabella29[[#This Row],[n ENTRIES]]*H$9+Tabella29[[#This Row],[Facilita download]]*I$9+Tabella29[[#This Row],[Credibilita]]*K$9</f>
        <v>2.5000000000000004</v>
      </c>
      <c r="M3" s="9">
        <f>Tabella29[[#This Row],[Risultato]]/L$9</f>
        <v>0.13736263736263737</v>
      </c>
    </row>
    <row r="4" spans="1:13" x14ac:dyDescent="0.3">
      <c r="A4" s="42" t="s">
        <v>10</v>
      </c>
      <c r="B4" s="11" t="s">
        <v>48</v>
      </c>
      <c r="C4" s="15" t="s">
        <v>20</v>
      </c>
      <c r="D4" s="26">
        <v>1</v>
      </c>
      <c r="E4" s="19">
        <v>0.1245</v>
      </c>
      <c r="F4" s="21">
        <v>1</v>
      </c>
      <c r="G4" s="15">
        <v>3</v>
      </c>
      <c r="H4" s="15">
        <v>7</v>
      </c>
      <c r="I4" s="15">
        <v>3</v>
      </c>
      <c r="J4" s="15" t="s">
        <v>20</v>
      </c>
      <c r="K4" s="18">
        <v>3</v>
      </c>
      <c r="L4" s="61">
        <f>Tabella29[[#This Row],[Valutazione reputazione media]]*D$9+Tabella29[[#This Row],[FREQ. AGGIORNAMENTO]]*G$9+Tabella29[[#This Row],[n ENTRIES]]*H$9+Tabella29[[#This Row],[Facilita download]]*I$9+Tabella29[[#This Row],[Credibilita]]*K$9</f>
        <v>2.9000000000000004</v>
      </c>
      <c r="M4" s="9">
        <f>Tabella29[[#This Row],[Risultato]]/L$9</f>
        <v>0.15934065934065933</v>
      </c>
    </row>
    <row r="5" spans="1:13" x14ac:dyDescent="0.3">
      <c r="A5" s="42" t="s">
        <v>11</v>
      </c>
      <c r="B5" s="11" t="s">
        <v>48</v>
      </c>
      <c r="C5" s="15" t="s">
        <v>18</v>
      </c>
      <c r="D5" s="26">
        <v>1</v>
      </c>
      <c r="E5" s="19">
        <v>9.2399999999999996E-2</v>
      </c>
      <c r="F5" s="21">
        <v>0.995</v>
      </c>
      <c r="G5" s="15">
        <v>3</v>
      </c>
      <c r="H5" s="15">
        <v>3</v>
      </c>
      <c r="I5" s="15">
        <v>1</v>
      </c>
      <c r="J5" s="15" t="s">
        <v>20</v>
      </c>
      <c r="K5" s="18">
        <v>3</v>
      </c>
      <c r="L5" s="61">
        <f>Tabella29[[#This Row],[Valutazione reputazione media]]*D$9+Tabella29[[#This Row],[FREQ. AGGIORNAMENTO]]*G$9+Tabella29[[#This Row],[n ENTRIES]]*H$9+Tabella29[[#This Row],[Facilita download]]*I$9+Tabella29[[#This Row],[Credibilita]]*K$9</f>
        <v>2.1</v>
      </c>
      <c r="M5" s="9">
        <f>Tabella29[[#This Row],[Risultato]]/L$9</f>
        <v>0.11538461538461538</v>
      </c>
    </row>
    <row r="6" spans="1:13" x14ac:dyDescent="0.3">
      <c r="A6" s="14" t="s">
        <v>12</v>
      </c>
      <c r="B6" s="11" t="s">
        <v>48</v>
      </c>
      <c r="C6" s="15" t="s">
        <v>20</v>
      </c>
      <c r="D6" s="26">
        <v>1</v>
      </c>
      <c r="E6" s="16">
        <v>3.7900000000000003E-2</v>
      </c>
      <c r="F6" s="17">
        <v>0.55500000000000005</v>
      </c>
      <c r="G6" s="15">
        <v>1</v>
      </c>
      <c r="H6" s="15">
        <v>7</v>
      </c>
      <c r="I6" s="15">
        <v>3</v>
      </c>
      <c r="J6" s="24" t="s">
        <v>20</v>
      </c>
      <c r="K6" s="15">
        <v>3</v>
      </c>
      <c r="L6" s="61">
        <f>Tabella29[[#This Row],[Valutazione reputazione media]]*D$9+Tabella29[[#This Row],[FREQ. AGGIORNAMENTO]]*G$9+Tabella29[[#This Row],[n ENTRIES]]*H$9+Tabella29[[#This Row],[Facilita download]]*I$9+Tabella29[[#This Row],[Credibilita]]*K$9</f>
        <v>2.1</v>
      </c>
      <c r="M6" s="9">
        <f>Tabella29[[#This Row],[Risultato]]/L$9</f>
        <v>0.11538461538461538</v>
      </c>
    </row>
    <row r="7" spans="1:13" x14ac:dyDescent="0.3">
      <c r="A7" s="42" t="s">
        <v>13</v>
      </c>
      <c r="B7" s="11" t="s">
        <v>48</v>
      </c>
      <c r="C7" s="15" t="s">
        <v>18</v>
      </c>
      <c r="D7" s="26">
        <v>1</v>
      </c>
      <c r="E7" s="19">
        <v>7.3300000000000004E-2</v>
      </c>
      <c r="F7" s="21">
        <v>0.995</v>
      </c>
      <c r="G7" s="15">
        <v>3</v>
      </c>
      <c r="H7" s="15">
        <v>3</v>
      </c>
      <c r="I7" s="15">
        <v>3</v>
      </c>
      <c r="J7" s="26" t="s">
        <v>20</v>
      </c>
      <c r="K7" s="18">
        <v>1</v>
      </c>
      <c r="L7" s="61">
        <f>Tabella29[[#This Row],[Valutazione reputazione media]]*D$9+Tabella29[[#This Row],[FREQ. AGGIORNAMENTO]]*G$9+Tabella29[[#This Row],[n ENTRIES]]*H$9+Tabella29[[#This Row],[Facilita download]]*I$9+Tabella29[[#This Row],[Credibilita]]*K$9</f>
        <v>2.4000000000000004</v>
      </c>
      <c r="M7" s="9">
        <f>Tabella29[[#This Row],[Risultato]]/L$9</f>
        <v>0.13186813186813187</v>
      </c>
    </row>
    <row r="8" spans="1:13" x14ac:dyDescent="0.3">
      <c r="A8" s="44" t="s">
        <v>14</v>
      </c>
      <c r="B8" s="45" t="s">
        <v>48</v>
      </c>
      <c r="C8" s="15" t="s">
        <v>18</v>
      </c>
      <c r="D8" s="26">
        <v>1</v>
      </c>
      <c r="E8" s="19">
        <v>0</v>
      </c>
      <c r="F8" s="21">
        <v>0</v>
      </c>
      <c r="G8" s="15">
        <v>1</v>
      </c>
      <c r="H8" s="15">
        <v>3</v>
      </c>
      <c r="I8" s="15">
        <v>3</v>
      </c>
      <c r="J8" s="15" t="s">
        <v>20</v>
      </c>
      <c r="K8" s="18">
        <v>7</v>
      </c>
      <c r="L8" s="61">
        <f>Tabella29[[#This Row],[Valutazione reputazione media]]*D$9+Tabella29[[#This Row],[FREQ. AGGIORNAMENTO]]*G$9+Tabella29[[#This Row],[n ENTRIES]]*H$9+Tabella29[[#This Row],[Facilita download]]*I$9+Tabella29[[#This Row],[Credibilita]]*K$9</f>
        <v>1.9000000000000004</v>
      </c>
      <c r="M8" s="9">
        <f>Tabella29[[#This Row],[Risultato]]/L$9</f>
        <v>0.1043956043956044</v>
      </c>
    </row>
    <row r="9" spans="1:13" x14ac:dyDescent="0.3">
      <c r="A9" s="30" t="s">
        <v>42</v>
      </c>
      <c r="B9" s="31"/>
      <c r="C9" s="32"/>
      <c r="D9" s="32">
        <v>0.25</v>
      </c>
      <c r="E9" s="31"/>
      <c r="F9" s="31"/>
      <c r="G9" s="31">
        <v>0.4</v>
      </c>
      <c r="H9" s="31">
        <v>0.1</v>
      </c>
      <c r="I9" s="33">
        <v>0.2</v>
      </c>
      <c r="J9" s="33"/>
      <c r="K9" s="33">
        <v>0.05</v>
      </c>
      <c r="L9" s="63">
        <f>SUM(Tabella29[Risultato])</f>
        <v>18.200000000000003</v>
      </c>
    </row>
    <row r="20" spans="1:6" ht="46.5" customHeight="1" x14ac:dyDescent="0.3">
      <c r="A20" s="39" t="s">
        <v>23</v>
      </c>
      <c r="B20" s="40" t="s">
        <v>27</v>
      </c>
      <c r="C20" s="40" t="s">
        <v>22</v>
      </c>
      <c r="D20" s="40" t="s">
        <v>1</v>
      </c>
      <c r="E20" s="40" t="s">
        <v>6</v>
      </c>
      <c r="F20" s="40" t="s">
        <v>7</v>
      </c>
    </row>
    <row r="21" spans="1:6" ht="39.950000000000003" customHeight="1" x14ac:dyDescent="0.3">
      <c r="A21" s="39" t="s">
        <v>24</v>
      </c>
      <c r="B21" s="39" t="s">
        <v>28</v>
      </c>
      <c r="C21" s="39" t="s">
        <v>31</v>
      </c>
      <c r="D21" s="39" t="s">
        <v>33</v>
      </c>
      <c r="E21" s="39" t="s">
        <v>36</v>
      </c>
      <c r="F21" s="39" t="s">
        <v>39</v>
      </c>
    </row>
    <row r="22" spans="1:6" ht="39.950000000000003" customHeight="1" x14ac:dyDescent="0.3">
      <c r="A22" s="39" t="s">
        <v>25</v>
      </c>
      <c r="B22" s="39" t="s">
        <v>29</v>
      </c>
      <c r="C22" s="39" t="s">
        <v>32</v>
      </c>
      <c r="D22" s="39" t="s">
        <v>34</v>
      </c>
      <c r="E22" s="39" t="s">
        <v>37</v>
      </c>
      <c r="F22" s="40" t="s">
        <v>43</v>
      </c>
    </row>
    <row r="23" spans="1:6" ht="60" customHeight="1" x14ac:dyDescent="0.3">
      <c r="A23" s="39" t="s">
        <v>26</v>
      </c>
      <c r="B23" s="39" t="s">
        <v>30</v>
      </c>
      <c r="C23" s="39" t="s">
        <v>19</v>
      </c>
      <c r="D23" s="39" t="s">
        <v>35</v>
      </c>
      <c r="E23" s="39" t="s">
        <v>38</v>
      </c>
      <c r="F23" s="40" t="s">
        <v>41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9"/>
  <sheetViews>
    <sheetView tabSelected="1" zoomScale="55" zoomScaleNormal="55" workbookViewId="0">
      <selection activeCell="A8" sqref="A8"/>
    </sheetView>
  </sheetViews>
  <sheetFormatPr defaultRowHeight="17.25" x14ac:dyDescent="0.25"/>
  <cols>
    <col min="1" max="1" width="64.28515625" style="11" customWidth="1"/>
    <col min="2" max="2" width="11.28515625" style="11" customWidth="1"/>
    <col min="3" max="3" width="19.85546875" style="11" customWidth="1"/>
    <col min="4" max="4" width="18.5703125" style="11" customWidth="1"/>
    <col min="5" max="5" width="21.28515625" style="11" bestFit="1" customWidth="1"/>
    <col min="6" max="6" width="28" style="11" customWidth="1"/>
    <col min="7" max="7" width="23.85546875" style="11" customWidth="1"/>
    <col min="8" max="8" width="20" style="11" customWidth="1"/>
    <col min="9" max="9" width="21.42578125" style="11" customWidth="1"/>
    <col min="10" max="10" width="18.85546875" style="11" customWidth="1"/>
    <col min="11" max="11" width="15.42578125" style="11" bestFit="1" customWidth="1"/>
    <col min="12" max="12" width="11.7109375" style="11" customWidth="1"/>
    <col min="13" max="16384" width="9.140625" style="11"/>
  </cols>
  <sheetData>
    <row r="1" spans="1:13" ht="45" x14ac:dyDescent="0.25">
      <c r="A1" s="1" t="s">
        <v>0</v>
      </c>
      <c r="B1" s="1" t="s">
        <v>46</v>
      </c>
      <c r="C1" s="1" t="s">
        <v>44</v>
      </c>
      <c r="D1" s="1" t="s">
        <v>55</v>
      </c>
      <c r="E1" s="1" t="s">
        <v>54</v>
      </c>
      <c r="F1" s="1" t="s">
        <v>45</v>
      </c>
      <c r="G1" s="1" t="s">
        <v>22</v>
      </c>
      <c r="H1" s="1" t="s">
        <v>1</v>
      </c>
      <c r="I1" s="1" t="s">
        <v>6</v>
      </c>
      <c r="J1" s="1" t="s">
        <v>21</v>
      </c>
      <c r="K1" s="1" t="s">
        <v>52</v>
      </c>
      <c r="L1" s="2" t="s">
        <v>5</v>
      </c>
      <c r="M1" s="1" t="s">
        <v>50</v>
      </c>
    </row>
    <row r="2" spans="1:13" s="12" customFormat="1" x14ac:dyDescent="0.25">
      <c r="A2" s="12" t="s">
        <v>51</v>
      </c>
      <c r="B2" s="11" t="s">
        <v>49</v>
      </c>
      <c r="C2" s="7" t="s">
        <v>18</v>
      </c>
      <c r="D2" s="7">
        <v>1</v>
      </c>
      <c r="E2" s="46">
        <v>6.6799999999999998E-2</v>
      </c>
      <c r="F2" s="47">
        <f>49/50</f>
        <v>0.98</v>
      </c>
      <c r="G2" s="12">
        <v>7</v>
      </c>
      <c r="H2" s="12">
        <v>3</v>
      </c>
      <c r="I2" s="12">
        <v>3</v>
      </c>
      <c r="J2" s="12" t="s">
        <v>20</v>
      </c>
      <c r="K2" s="48">
        <v>7</v>
      </c>
      <c r="L2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4.3000000000000007</v>
      </c>
      <c r="M2" s="46">
        <f>Tabella2910[[#This Row],[Risultato]]/L$9</f>
        <v>0.23369565217391311</v>
      </c>
    </row>
    <row r="3" spans="1:13" s="12" customFormat="1" x14ac:dyDescent="0.3">
      <c r="A3" s="60" t="s">
        <v>56</v>
      </c>
      <c r="B3" s="11" t="s">
        <v>49</v>
      </c>
      <c r="C3" s="26" t="s">
        <v>18</v>
      </c>
      <c r="D3" s="26">
        <v>1</v>
      </c>
      <c r="E3" s="43"/>
      <c r="F3" s="27"/>
      <c r="G3" s="15">
        <v>3</v>
      </c>
      <c r="H3" s="15">
        <v>7</v>
      </c>
      <c r="I3" s="15">
        <v>1</v>
      </c>
      <c r="J3" s="22" t="s">
        <v>20</v>
      </c>
      <c r="K3" s="11">
        <v>3</v>
      </c>
      <c r="L3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2.5000000000000004</v>
      </c>
      <c r="M3" s="46">
        <f>Tabella2910[[#This Row],[Risultato]]/L$9</f>
        <v>0.13586956521739135</v>
      </c>
    </row>
    <row r="4" spans="1:13" x14ac:dyDescent="0.25">
      <c r="A4" s="49" t="s">
        <v>12</v>
      </c>
      <c r="B4" s="11" t="s">
        <v>49</v>
      </c>
      <c r="C4" s="11" t="s">
        <v>20</v>
      </c>
      <c r="D4" s="11">
        <v>1</v>
      </c>
      <c r="E4" s="50">
        <v>6.0699999999999997E-2</v>
      </c>
      <c r="F4" s="51">
        <v>1</v>
      </c>
      <c r="G4" s="11">
        <v>1</v>
      </c>
      <c r="H4" s="11">
        <v>7</v>
      </c>
      <c r="I4" s="11">
        <v>3</v>
      </c>
      <c r="J4" s="11" t="s">
        <v>20</v>
      </c>
      <c r="K4" s="11">
        <v>3</v>
      </c>
      <c r="L4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2.1</v>
      </c>
      <c r="M4" s="46">
        <f>Tabella2910[[#This Row],[Risultato]]/L$9</f>
        <v>0.1141304347826087</v>
      </c>
    </row>
    <row r="5" spans="1:13" x14ac:dyDescent="0.25">
      <c r="A5" s="11" t="s">
        <v>2</v>
      </c>
      <c r="B5" s="11" t="s">
        <v>49</v>
      </c>
      <c r="C5" s="11" t="s">
        <v>18</v>
      </c>
      <c r="D5" s="11">
        <v>1</v>
      </c>
      <c r="E5" s="52">
        <v>2.6599999999999999E-2</v>
      </c>
      <c r="F5" s="53">
        <v>0.72</v>
      </c>
      <c r="G5" s="11">
        <v>3</v>
      </c>
      <c r="H5" s="11">
        <v>3</v>
      </c>
      <c r="I5" s="11">
        <v>1</v>
      </c>
      <c r="J5" s="54" t="s">
        <v>20</v>
      </c>
      <c r="K5" s="11">
        <v>3</v>
      </c>
      <c r="L5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2.1</v>
      </c>
      <c r="M5" s="46">
        <f>Tabella2910[[#This Row],[Risultato]]/L$9</f>
        <v>0.1141304347826087</v>
      </c>
    </row>
    <row r="6" spans="1:13" s="20" customFormat="1" x14ac:dyDescent="0.3">
      <c r="A6" s="67" t="s">
        <v>57</v>
      </c>
      <c r="B6" s="11" t="s">
        <v>49</v>
      </c>
      <c r="C6" s="15" t="s">
        <v>18</v>
      </c>
      <c r="D6" s="26">
        <v>1</v>
      </c>
      <c r="E6" s="19"/>
      <c r="F6" s="21"/>
      <c r="G6" s="15">
        <v>3</v>
      </c>
      <c r="H6" s="15">
        <v>3</v>
      </c>
      <c r="I6" s="15">
        <v>3</v>
      </c>
      <c r="J6" s="26" t="s">
        <v>20</v>
      </c>
      <c r="K6" s="18">
        <v>1</v>
      </c>
      <c r="L6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2.4000000000000004</v>
      </c>
      <c r="M6" s="46">
        <f>Tabella2910[[#This Row],[Risultato]]/L$9</f>
        <v>0.13043478260869568</v>
      </c>
    </row>
    <row r="7" spans="1:13" s="20" customFormat="1" x14ac:dyDescent="0.3">
      <c r="A7" s="42" t="s">
        <v>11</v>
      </c>
      <c r="B7" s="11" t="s">
        <v>49</v>
      </c>
      <c r="C7" s="15" t="s">
        <v>18</v>
      </c>
      <c r="D7" s="26">
        <v>1</v>
      </c>
      <c r="E7" s="19">
        <v>9.2399999999999996E-2</v>
      </c>
      <c r="F7" s="21">
        <v>0.995</v>
      </c>
      <c r="G7" s="15">
        <v>3</v>
      </c>
      <c r="H7" s="15">
        <v>3</v>
      </c>
      <c r="I7" s="15">
        <v>1</v>
      </c>
      <c r="J7" s="15" t="s">
        <v>20</v>
      </c>
      <c r="K7" s="18">
        <v>3</v>
      </c>
      <c r="L7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2.1</v>
      </c>
      <c r="M7" s="46">
        <f>Tabella2910[[#This Row],[Risultato]]/L$9</f>
        <v>0.1141304347826087</v>
      </c>
    </row>
    <row r="8" spans="1:13" x14ac:dyDescent="0.25">
      <c r="A8" s="49" t="s">
        <v>17</v>
      </c>
      <c r="B8" s="11" t="s">
        <v>49</v>
      </c>
      <c r="C8" s="11" t="s">
        <v>18</v>
      </c>
      <c r="D8" s="11">
        <v>1</v>
      </c>
      <c r="E8" s="52">
        <v>8.6499999999999994E-2</v>
      </c>
      <c r="F8" s="53">
        <v>0.94</v>
      </c>
      <c r="G8" s="11">
        <v>3</v>
      </c>
      <c r="H8" s="11">
        <v>7</v>
      </c>
      <c r="I8" s="11">
        <v>3</v>
      </c>
      <c r="J8" s="11" t="s">
        <v>20</v>
      </c>
      <c r="K8" s="55">
        <v>3</v>
      </c>
      <c r="L8" s="64">
        <f>Tabella2910[[#This Row],[Valutazione reputazione media]]*D$9+Tabella2910[[#This Row],[FREQ. AGGIORNAMENTO]]*G$9+Tabella2910[[#This Row],[n ENTRIES]]*H$9+Tabella2910[[#This Row],[Facilita download]]*I$9+Tabella2910[[#This Row],[Credibilita]]*K$9</f>
        <v>2.9000000000000004</v>
      </c>
      <c r="M8" s="46">
        <f>Tabella2910[[#This Row],[Risultato]]/L$9</f>
        <v>0.15760869565217395</v>
      </c>
    </row>
    <row r="9" spans="1:13" x14ac:dyDescent="0.25">
      <c r="A9" s="56" t="s">
        <v>42</v>
      </c>
      <c r="B9" s="57"/>
      <c r="C9" s="58"/>
      <c r="D9" s="58">
        <v>0.25</v>
      </c>
      <c r="E9" s="57"/>
      <c r="F9" s="57"/>
      <c r="G9" s="57">
        <v>0.4</v>
      </c>
      <c r="H9" s="57">
        <v>0.1</v>
      </c>
      <c r="I9" s="59">
        <v>0.2</v>
      </c>
      <c r="J9" s="59"/>
      <c r="K9" s="59">
        <v>0.05</v>
      </c>
      <c r="L9" s="65">
        <f>SUM(Tabella2910[Risultato])</f>
        <v>18.399999999999999</v>
      </c>
    </row>
    <row r="16" spans="1:13" ht="45" x14ac:dyDescent="0.25">
      <c r="A16" s="39" t="s">
        <v>23</v>
      </c>
      <c r="B16" s="40" t="s">
        <v>27</v>
      </c>
      <c r="C16" s="40" t="s">
        <v>22</v>
      </c>
      <c r="D16" s="40" t="s">
        <v>1</v>
      </c>
      <c r="E16" s="40" t="s">
        <v>6</v>
      </c>
      <c r="F16" s="40" t="s">
        <v>7</v>
      </c>
    </row>
    <row r="17" spans="1:6" ht="39.950000000000003" customHeight="1" x14ac:dyDescent="0.25">
      <c r="A17" s="39" t="s">
        <v>24</v>
      </c>
      <c r="B17" s="39" t="s">
        <v>28</v>
      </c>
      <c r="C17" s="39" t="s">
        <v>31</v>
      </c>
      <c r="D17" s="39" t="s">
        <v>33</v>
      </c>
      <c r="E17" s="39" t="s">
        <v>36</v>
      </c>
      <c r="F17" s="39" t="s">
        <v>39</v>
      </c>
    </row>
    <row r="18" spans="1:6" ht="39.950000000000003" customHeight="1" x14ac:dyDescent="0.25">
      <c r="A18" s="39" t="s">
        <v>25</v>
      </c>
      <c r="B18" s="39" t="s">
        <v>29</v>
      </c>
      <c r="C18" s="39" t="s">
        <v>32</v>
      </c>
      <c r="D18" s="39" t="s">
        <v>34</v>
      </c>
      <c r="E18" s="39" t="s">
        <v>37</v>
      </c>
      <c r="F18" s="40" t="s">
        <v>43</v>
      </c>
    </row>
    <row r="19" spans="1:6" ht="60" customHeight="1" x14ac:dyDescent="0.25">
      <c r="A19" s="39" t="s">
        <v>26</v>
      </c>
      <c r="B19" s="39" t="s">
        <v>30</v>
      </c>
      <c r="C19" s="39" t="s">
        <v>19</v>
      </c>
      <c r="D19" s="39" t="s">
        <v>35</v>
      </c>
      <c r="E19" s="39" t="s">
        <v>38</v>
      </c>
      <c r="F19" s="40" t="s">
        <v>41</v>
      </c>
    </row>
  </sheetData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HASH</vt:lpstr>
      <vt:lpstr>IP</vt:lpstr>
      <vt:lpstr>Domain</vt:lpstr>
      <vt:lpstr>URL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Urbinello</dc:creator>
  <cp:lastModifiedBy>Giovanni Urbinello</cp:lastModifiedBy>
  <dcterms:created xsi:type="dcterms:W3CDTF">2014-07-22T09:11:35Z</dcterms:created>
  <dcterms:modified xsi:type="dcterms:W3CDTF">2014-10-08T09:46:28Z</dcterms:modified>
</cp:coreProperties>
</file>