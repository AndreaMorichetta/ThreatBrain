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5480" tabRatio="236"/>
  </bookViews>
  <sheets>
    <sheet name="HASH" sheetId="1" r:id="rId1"/>
    <sheet name="IP&amp;DOMINI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1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3"/>
</calcChain>
</file>

<file path=xl/comments1.xml><?xml version="1.0" encoding="utf-8"?>
<comments xmlns="http://schemas.openxmlformats.org/spreadsheetml/2006/main">
  <authors>
    <author>Giovanni Urbinello</author>
  </authors>
  <commentList>
    <comment ref="A17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era nell'altra lista chiedere a claudio</t>
        </r>
      </text>
    </comment>
  </commentList>
</comments>
</file>

<file path=xl/comments2.xml><?xml version="1.0" encoding="utf-8"?>
<comments xmlns="http://schemas.openxmlformats.org/spreadsheetml/2006/main">
  <authors>
    <author>Giovanni Urbinello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ho messo uno perché prende liste da altri siti con reputazione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no rep.
Permette download dell ultimo giorno,
nessuna idea affidabilità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usa virus total, ma nn si sa chi lo usa, se è famoso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rivedere forse non è a pagamento</t>
        </r>
      </text>
    </comment>
    <comment ref="A22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fermo al 2012</t>
        </r>
      </text>
    </comment>
    <comment ref="A24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ultimo aggiornam. 2010?</t>
        </r>
      </text>
    </comment>
    <comment ref="A25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non fa vedere le liste e non le abbiamo scaricate</t>
        </r>
      </text>
    </comment>
    <comment ref="A26" authorId="0">
      <text>
        <r>
          <rPr>
            <b/>
            <sz val="9"/>
            <color indexed="81"/>
            <rFont val="Tahoma"/>
            <family val="2"/>
          </rPr>
          <t>Giovanni Urbinello:</t>
        </r>
        <r>
          <rPr>
            <sz val="9"/>
            <color indexed="81"/>
            <rFont val="Tahoma"/>
            <family val="2"/>
          </rPr>
          <t xml:space="preserve">
stessa cosa del precedente</t>
        </r>
      </text>
    </comment>
  </commentList>
</comments>
</file>

<file path=xl/sharedStrings.xml><?xml version="1.0" encoding="utf-8"?>
<sst xmlns="http://schemas.openxmlformats.org/spreadsheetml/2006/main" count="91" uniqueCount="66">
  <si>
    <t>URL FONTE</t>
  </si>
  <si>
    <t>REPUTAZIONE</t>
  </si>
  <si>
    <t>FREQ. AGGIORN</t>
  </si>
  <si>
    <t>n ENTRIES</t>
  </si>
  <si>
    <t>http://virusshare.com/</t>
  </si>
  <si>
    <t>https://sslbl.abuse.ch/blacklist/</t>
  </si>
  <si>
    <t>http://www.threatexpert.com/</t>
  </si>
  <si>
    <t>http://www.securitymonitoringblog.de/</t>
  </si>
  <si>
    <t>http://vxvault.siri-urz.net/ViriList.php</t>
  </si>
  <si>
    <t>http://support.clean-mx.de/clean-mx/viruses.php</t>
  </si>
  <si>
    <t>http://www.nothink.org/honeypots/malware_md5_list.txt</t>
  </si>
  <si>
    <t>https://malwr.com/analysis/</t>
  </si>
  <si>
    <t>http://www.fakeavs.com/</t>
  </si>
  <si>
    <t>http://virussign.com/downloads.html</t>
  </si>
  <si>
    <t>http://malwaredb.malekal.com/</t>
  </si>
  <si>
    <t>http://www.blade-defender.org/eval-lab/</t>
  </si>
  <si>
    <t>http://sanesecurity.com/usage/windows-scripts/</t>
  </si>
  <si>
    <t>http://scan.xecure-lab.com/</t>
  </si>
  <si>
    <t>http://doc.emergingthreats.net/</t>
  </si>
  <si>
    <t>Risultato</t>
  </si>
  <si>
    <t>Scala del voto</t>
  </si>
  <si>
    <t>molto basso</t>
  </si>
  <si>
    <t>basso</t>
  </si>
  <si>
    <t>suffic</t>
  </si>
  <si>
    <t>buono</t>
  </si>
  <si>
    <t>ottimo</t>
  </si>
  <si>
    <t>Pesi</t>
  </si>
  <si>
    <t>fondamentale</t>
  </si>
  <si>
    <t>non trascurabile</t>
  </si>
  <si>
    <t>Facilita download</t>
  </si>
  <si>
    <t>Affidabilita</t>
  </si>
  <si>
    <t>Ultimo aggiornamento</t>
  </si>
  <si>
    <t>rilevante</t>
  </si>
  <si>
    <t>zeustracker.abuse.ch</t>
  </si>
  <si>
    <t>http://www.spamhaus.org/zen/</t>
  </si>
  <si>
    <t>http://malc0de.com/database/</t>
  </si>
  <si>
    <t>www.malwareblacklist.com/showMDL.php</t>
  </si>
  <si>
    <t>https://isc.sans.edu/suspicious_domains.html</t>
  </si>
  <si>
    <t>http://www.malwaredomainlist.com/mdl.php</t>
  </si>
  <si>
    <t>www.malware.com.br/lists.shtml</t>
  </si>
  <si>
    <t>http://support.clean-mx.de/clean-mx/viruses</t>
  </si>
  <si>
    <t>www.malwaredomains.com</t>
  </si>
  <si>
    <t>http://atlas.arbor.net/</t>
  </si>
  <si>
    <t>http://www.projecthoneypot.org/</t>
  </si>
  <si>
    <t>http://malwared.ru/db/index.php?page=1</t>
  </si>
  <si>
    <t>http://www.shadowserver.org/wiki/</t>
  </si>
  <si>
    <t>http://urlblacklist.com/</t>
  </si>
  <si>
    <t>http://malwareurls.joxeankoret.com/domains.txt</t>
  </si>
  <si>
    <t>https://www.spyeyetracker.abuse.ch/</t>
  </si>
  <si>
    <t>http://www.kleissner.org/text/ZeuSGameover_Domains.txt</t>
  </si>
  <si>
    <t>http://labs.sucuri.net/?malware</t>
  </si>
  <si>
    <t>http://www.blocklist.de/</t>
  </si>
  <si>
    <t>https://www.stopbadware.org/top-50</t>
  </si>
  <si>
    <t>https://palevotracker.abuse.ch/</t>
  </si>
  <si>
    <t>http://www.openbl.org/lists.html</t>
  </si>
  <si>
    <t>http://blog.urlvoid.com/247/new-list-of-dangerous-websites-to-avoid/</t>
  </si>
  <si>
    <t>http://www.spamrats.com/lists.php</t>
  </si>
  <si>
    <t>http://www.ipdeny.com/ipblocks/</t>
  </si>
  <si>
    <t>http://multirbl.valli.org/list/</t>
  </si>
  <si>
    <t>http://cybercrime-tracker.net/</t>
  </si>
  <si>
    <t>facilita download</t>
  </si>
  <si>
    <t>tabelle non selezionabili</t>
  </si>
  <si>
    <t>tabelle selezionabili</t>
  </si>
  <si>
    <t>rsync/API</t>
  </si>
  <si>
    <t>dowload manuale copia ed incolla</t>
  </si>
  <si>
    <t>dowload file [zip]  xml o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</si>
</sst>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e" xfId="0" builtinId="0"/>
  </cellStyles>
  <dxfs count="20"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ella1" displayName="Tabella1" ref="A1:H17" totalsRowShown="0" headerRowDxfId="19" dataDxfId="18">
  <autoFilter ref="A1:H17"/>
  <tableColumns count="8">
    <tableColumn id="1" name="URL FONTE" dataDxfId="17"/>
    <tableColumn id="2" name="REPUTAZIONE" dataDxfId="16"/>
    <tableColumn id="3" name="FREQ. AGGIORN" dataDxfId="15"/>
    <tableColumn id="4" name="n ENTRIES" dataDxfId="14"/>
    <tableColumn id="5" name="Facilita download" dataDxfId="13"/>
    <tableColumn id="6" name="Affidabilita" dataDxfId="12"/>
    <tableColumn id="13" name="Ultimo aggiornamento" dataDxfId="11"/>
    <tableColumn id="7" name="Risultato" dataDxfId="10">
      <calculatedColumnFormula>Tabella1[[#This Row],[REPUTAZIONE]]*B$18+Tabella1[[#This Row],[FREQ. AGGIORN]]*C$18+Tabella1[[#This Row],[n ENTRIES]]*D$18+Tabella1[[#This Row],[Facilita download]]*E$18+Tabella1[[#This Row],[Affidabilita]]*F$18+Tabella1[[#This Row],[Ultimo aggiornamento]]*G$18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a2" displayName="Tabella2" ref="A1:H28" totalsRowShown="0" headerRowDxfId="9" dataDxfId="8">
  <autoFilter ref="A1:H28"/>
  <tableColumns count="8">
    <tableColumn id="1" name="URL FONTE" dataDxfId="7"/>
    <tableColumn id="2" name="REPUTAZIONE" dataDxfId="6"/>
    <tableColumn id="3" name="FREQ. AGGIORN" dataDxfId="5"/>
    <tableColumn id="4" name="n ENTRIES" dataDxfId="4"/>
    <tableColumn id="5" name="Facilita download" dataDxfId="3"/>
    <tableColumn id="6" name="Affidabilita" dataDxfId="2"/>
    <tableColumn id="7" name="Ultimo aggiornamento" dataDxfId="1"/>
    <tableColumn id="8" name="Risultato" dataDxfId="0">
      <calculatedColumnFormula>Tabella2[[#This Row],[REPUTAZIONE]]*#REF!+Tabella2[[#This Row],[FREQ. AGGIORN]]*#REF!+Tabella2[[#This Row],[n ENTRIES]]*#REF!+Tabella2[[#This Row],[Facilita download]]*#REF!+Tabella2[[#This Row],[Affidabilita]]*#REF!+Tabella2[[#This Row],[Ultimo aggiornamento]]*#REF!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table" Target="../tables/table2.x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A23" sqref="A23"/>
    </sheetView>
  </sheetViews>
  <sheetFormatPr baseColWidth="10" defaultColWidth="8.83203125" defaultRowHeight="14" x14ac:dyDescent="0"/>
  <cols>
    <col min="1" max="1" width="53.6640625" style="1" customWidth="1"/>
    <col min="2" max="2" width="18.1640625" style="1" customWidth="1"/>
    <col min="3" max="3" width="17.6640625" style="1" bestFit="1" customWidth="1"/>
    <col min="4" max="4" width="15.33203125" style="1" customWidth="1"/>
    <col min="5" max="5" width="21.33203125" style="1" bestFit="1" customWidth="1"/>
    <col min="6" max="7" width="19.5" style="1" customWidth="1"/>
    <col min="8" max="8" width="20" style="1" customWidth="1"/>
    <col min="9" max="9" width="12.5" style="1" bestFit="1" customWidth="1"/>
    <col min="10" max="10" width="13.33203125" style="1" bestFit="1" customWidth="1"/>
    <col min="11" max="11" width="15.5" style="1" bestFit="1" customWidth="1"/>
    <col min="12" max="16384" width="8.832031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19</v>
      </c>
    </row>
    <row r="2" spans="1:8">
      <c r="A2" t="s">
        <v>4</v>
      </c>
      <c r="B2" s="1">
        <v>5</v>
      </c>
      <c r="C2" s="1">
        <v>3</v>
      </c>
      <c r="D2" s="1">
        <v>5</v>
      </c>
      <c r="E2" s="1">
        <v>3</v>
      </c>
      <c r="F2" s="1">
        <v>3</v>
      </c>
      <c r="G2" s="1">
        <v>4</v>
      </c>
      <c r="H2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3.8</v>
      </c>
    </row>
    <row r="3" spans="1:8">
      <c r="A3" t="s">
        <v>5</v>
      </c>
      <c r="B3" s="1">
        <v>1</v>
      </c>
      <c r="C3" s="1">
        <v>5</v>
      </c>
      <c r="D3" s="1">
        <v>3</v>
      </c>
      <c r="E3" s="1">
        <v>3</v>
      </c>
      <c r="F3" s="1">
        <v>3</v>
      </c>
      <c r="G3" s="1">
        <v>5</v>
      </c>
      <c r="H3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3.5999999999999996</v>
      </c>
    </row>
    <row r="4" spans="1:8">
      <c r="A4" t="s">
        <v>6</v>
      </c>
      <c r="D4" s="1">
        <v>1</v>
      </c>
      <c r="H4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0.1</v>
      </c>
    </row>
    <row r="5" spans="1:8">
      <c r="A5" t="s">
        <v>7</v>
      </c>
      <c r="B5" s="1">
        <v>1</v>
      </c>
      <c r="C5" s="1">
        <v>1</v>
      </c>
      <c r="D5" s="1">
        <v>4</v>
      </c>
      <c r="E5" s="1">
        <v>2</v>
      </c>
      <c r="F5" s="1">
        <v>2</v>
      </c>
      <c r="G5" s="1">
        <v>1</v>
      </c>
      <c r="H5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1.5</v>
      </c>
    </row>
    <row r="6" spans="1:8">
      <c r="A6" t="s">
        <v>8</v>
      </c>
      <c r="B6" s="1">
        <v>4</v>
      </c>
      <c r="C6" s="1">
        <v>5</v>
      </c>
      <c r="D6" s="1">
        <v>4</v>
      </c>
      <c r="E6" s="1">
        <v>1</v>
      </c>
      <c r="F6" s="1">
        <v>3</v>
      </c>
      <c r="G6" s="1">
        <v>5</v>
      </c>
      <c r="H6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4.0999999999999996</v>
      </c>
    </row>
    <row r="7" spans="1:8">
      <c r="A7" t="s">
        <v>9</v>
      </c>
      <c r="D7" s="1">
        <v>4</v>
      </c>
      <c r="E7" s="1">
        <v>3</v>
      </c>
      <c r="F7" s="1">
        <v>2</v>
      </c>
      <c r="H7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0.90000000000000013</v>
      </c>
    </row>
    <row r="8" spans="1:8">
      <c r="A8" t="s">
        <v>10</v>
      </c>
      <c r="C8" s="1">
        <v>4</v>
      </c>
      <c r="D8" s="1">
        <v>4</v>
      </c>
      <c r="E8" s="1">
        <v>2</v>
      </c>
      <c r="F8" s="1">
        <v>2</v>
      </c>
      <c r="G8" s="1">
        <v>5</v>
      </c>
      <c r="H8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3</v>
      </c>
    </row>
    <row r="9" spans="1:8">
      <c r="A9" t="s">
        <v>11</v>
      </c>
      <c r="B9" s="1">
        <v>4</v>
      </c>
      <c r="C9" s="1">
        <v>5</v>
      </c>
      <c r="D9" s="1">
        <v>4</v>
      </c>
      <c r="E9" s="1">
        <v>1</v>
      </c>
      <c r="F9" s="1">
        <v>3</v>
      </c>
      <c r="G9" s="1">
        <v>5</v>
      </c>
      <c r="H9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4.0999999999999996</v>
      </c>
    </row>
    <row r="10" spans="1:8">
      <c r="A10" t="s">
        <v>12</v>
      </c>
      <c r="C10" s="1">
        <v>3</v>
      </c>
      <c r="D10" s="1">
        <v>4</v>
      </c>
      <c r="E10" s="1">
        <v>2</v>
      </c>
      <c r="F10" s="1">
        <v>2</v>
      </c>
      <c r="G10" s="1">
        <v>5</v>
      </c>
      <c r="H10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2.6999999999999997</v>
      </c>
    </row>
    <row r="11" spans="1:8">
      <c r="A11" t="s">
        <v>13</v>
      </c>
      <c r="H11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0</v>
      </c>
    </row>
    <row r="12" spans="1:8">
      <c r="A12" t="s">
        <v>14</v>
      </c>
      <c r="H12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0</v>
      </c>
    </row>
    <row r="13" spans="1:8">
      <c r="A13" t="s">
        <v>15</v>
      </c>
      <c r="B13" s="1">
        <v>4</v>
      </c>
      <c r="C13" s="1">
        <v>1</v>
      </c>
      <c r="D13" s="1">
        <v>2</v>
      </c>
      <c r="E13" s="1">
        <v>1</v>
      </c>
      <c r="F13" s="1">
        <v>2</v>
      </c>
      <c r="G13" s="1">
        <v>1</v>
      </c>
      <c r="H13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1.8</v>
      </c>
    </row>
    <row r="14" spans="1:8">
      <c r="A14" t="s">
        <v>16</v>
      </c>
      <c r="H14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0</v>
      </c>
    </row>
    <row r="15" spans="1:8">
      <c r="A15" t="s">
        <v>17</v>
      </c>
      <c r="B15" s="1">
        <v>4</v>
      </c>
      <c r="C15" s="1">
        <v>5</v>
      </c>
      <c r="D15" s="1">
        <v>3</v>
      </c>
      <c r="E15" s="1">
        <v>2</v>
      </c>
      <c r="F15" s="1">
        <v>2</v>
      </c>
      <c r="H15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3</v>
      </c>
    </row>
    <row r="16" spans="1:8">
      <c r="A16" t="s">
        <v>18</v>
      </c>
      <c r="B16" s="1">
        <v>0</v>
      </c>
      <c r="C16" s="1">
        <v>0</v>
      </c>
      <c r="D16" s="1">
        <v>0</v>
      </c>
      <c r="H16" s="1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0</v>
      </c>
    </row>
    <row r="17" spans="1:9">
      <c r="A17" s="7" t="s">
        <v>34</v>
      </c>
      <c r="H17" s="5">
        <f>Tabella1[[#This Row],[REPUTAZIONE]]*B$18+Tabella1[[#This Row],[FREQ. AGGIORN]]*C$18+Tabella1[[#This Row],[n ENTRIES]]*D$18+Tabella1[[#This Row],[Facilita download]]*E$18+Tabella1[[#This Row],[Affidabilita]]*F$18+Tabella1[[#This Row],[Ultimo aggiornamento]]*G$18</f>
        <v>0</v>
      </c>
    </row>
    <row r="18" spans="1:9">
      <c r="B18" s="1">
        <v>0.2</v>
      </c>
      <c r="C18" s="1">
        <v>0.3</v>
      </c>
      <c r="D18" s="1">
        <v>0.1</v>
      </c>
      <c r="E18" s="1">
        <v>0.1</v>
      </c>
      <c r="F18" s="1">
        <v>0.1</v>
      </c>
      <c r="G18" s="1">
        <v>0.2</v>
      </c>
    </row>
    <row r="20" spans="1:9">
      <c r="E20" s="3" t="s">
        <v>60</v>
      </c>
      <c r="H20" s="3" t="s">
        <v>20</v>
      </c>
    </row>
    <row r="21" spans="1:9">
      <c r="E21" s="1">
        <v>1</v>
      </c>
      <c r="F21" s="2" t="s">
        <v>61</v>
      </c>
      <c r="H21" s="1">
        <v>1</v>
      </c>
      <c r="I21" s="1" t="s">
        <v>21</v>
      </c>
    </row>
    <row r="22" spans="1:9" ht="28.5" customHeight="1">
      <c r="E22" s="1">
        <v>2</v>
      </c>
      <c r="F22" s="2" t="s">
        <v>62</v>
      </c>
      <c r="H22" s="1">
        <v>2</v>
      </c>
      <c r="I22" s="1" t="s">
        <v>22</v>
      </c>
    </row>
    <row r="23" spans="1:9" ht="28">
      <c r="E23" s="1">
        <v>3</v>
      </c>
      <c r="F23" s="2" t="s">
        <v>64</v>
      </c>
      <c r="H23" s="1">
        <v>3</v>
      </c>
      <c r="I23" s="1" t="s">
        <v>23</v>
      </c>
    </row>
    <row r="24" spans="1:9" ht="28">
      <c r="E24" s="1">
        <v>4</v>
      </c>
      <c r="F24" s="2" t="s">
        <v>65</v>
      </c>
      <c r="H24" s="1">
        <v>4</v>
      </c>
      <c r="I24" s="1" t="s">
        <v>24</v>
      </c>
    </row>
    <row r="25" spans="1:9">
      <c r="E25" s="1">
        <v>5</v>
      </c>
      <c r="F25" s="2" t="s">
        <v>63</v>
      </c>
      <c r="H25" s="1">
        <v>5</v>
      </c>
      <c r="I25" s="1" t="s">
        <v>25</v>
      </c>
    </row>
    <row r="27" spans="1:9">
      <c r="H27" s="1" t="s">
        <v>26</v>
      </c>
    </row>
    <row r="28" spans="1:9">
      <c r="H28" s="1">
        <v>0.3</v>
      </c>
      <c r="I28" s="1" t="s">
        <v>27</v>
      </c>
    </row>
    <row r="29" spans="1:9">
      <c r="H29" s="1">
        <v>0.2</v>
      </c>
      <c r="I29" s="1" t="s">
        <v>32</v>
      </c>
    </row>
    <row r="30" spans="1:9">
      <c r="H30" s="1">
        <v>0.1</v>
      </c>
      <c r="I30" s="1" t="s">
        <v>28</v>
      </c>
    </row>
  </sheetData>
  <pageMargins left="0.7" right="0.7" top="0.75" bottom="0.75" header="0.3" footer="0.3"/>
  <legacy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1"/>
  <sheetViews>
    <sheetView topLeftCell="A4" workbookViewId="0">
      <selection activeCell="G28" sqref="G28"/>
    </sheetView>
  </sheetViews>
  <sheetFormatPr baseColWidth="10" defaultColWidth="8.83203125" defaultRowHeight="14" x14ac:dyDescent="0"/>
  <cols>
    <col min="1" max="1" width="64.33203125" style="1" customWidth="1"/>
    <col min="2" max="2" width="18.1640625" style="1" customWidth="1"/>
    <col min="3" max="3" width="17.6640625" style="1" bestFit="1" customWidth="1"/>
    <col min="4" max="4" width="15.33203125" style="1" customWidth="1"/>
    <col min="5" max="5" width="21.33203125" style="1" bestFit="1" customWidth="1"/>
    <col min="6" max="7" width="19.5" style="1" customWidth="1"/>
    <col min="8" max="8" width="20" style="1" customWidth="1"/>
    <col min="9" max="9" width="8.83203125" style="1"/>
    <col min="10" max="10" width="13.33203125" style="1" bestFit="1" customWidth="1"/>
    <col min="11" max="11" width="15.5" style="1" bestFit="1" customWidth="1"/>
    <col min="12" max="16384" width="8.832031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19</v>
      </c>
    </row>
    <row r="2" spans="1:8">
      <c r="A2" s="6" t="s">
        <v>33</v>
      </c>
      <c r="B2" s="1">
        <v>4</v>
      </c>
      <c r="C2" s="1">
        <v>5</v>
      </c>
      <c r="D2" s="1">
        <v>4</v>
      </c>
      <c r="E2" s="1">
        <v>3</v>
      </c>
      <c r="F2" s="1">
        <v>4</v>
      </c>
      <c r="G2" s="1">
        <v>5</v>
      </c>
      <c r="H2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4.4000000000000004</v>
      </c>
    </row>
    <row r="3" spans="1:8">
      <c r="A3" s="6" t="s">
        <v>34</v>
      </c>
      <c r="B3" s="1">
        <v>1</v>
      </c>
      <c r="C3" s="1">
        <v>5</v>
      </c>
      <c r="F3" s="1">
        <v>4</v>
      </c>
      <c r="G3" s="1">
        <v>5</v>
      </c>
      <c r="H3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3.1</v>
      </c>
    </row>
    <row r="4" spans="1:8">
      <c r="A4" s="6" t="s">
        <v>35</v>
      </c>
      <c r="B4" s="1">
        <v>5</v>
      </c>
      <c r="C4" s="1">
        <v>4</v>
      </c>
      <c r="D4" s="1">
        <v>5</v>
      </c>
      <c r="E4" s="1">
        <v>2</v>
      </c>
      <c r="F4" s="1">
        <v>4</v>
      </c>
      <c r="G4" s="1">
        <v>5</v>
      </c>
      <c r="H4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4.3000000000000007</v>
      </c>
    </row>
    <row r="5" spans="1:8">
      <c r="A5" s="6" t="s">
        <v>36</v>
      </c>
      <c r="B5" s="1">
        <v>1</v>
      </c>
      <c r="C5" s="1">
        <v>5</v>
      </c>
      <c r="D5" s="1">
        <v>5</v>
      </c>
      <c r="E5" s="1">
        <v>2</v>
      </c>
      <c r="F5" s="1">
        <v>4</v>
      </c>
      <c r="G5" s="1">
        <v>4</v>
      </c>
      <c r="H5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3.6000000000000005</v>
      </c>
    </row>
    <row r="6" spans="1:8">
      <c r="A6" s="6" t="s">
        <v>37</v>
      </c>
      <c r="B6" s="1">
        <v>2</v>
      </c>
      <c r="D6" s="1">
        <v>3</v>
      </c>
      <c r="E6" s="1">
        <v>3</v>
      </c>
      <c r="F6" s="1">
        <v>3</v>
      </c>
      <c r="H6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1.3</v>
      </c>
    </row>
    <row r="7" spans="1:8">
      <c r="A7" s="6" t="s">
        <v>38</v>
      </c>
      <c r="B7" s="1">
        <v>1</v>
      </c>
      <c r="C7" s="1">
        <v>2</v>
      </c>
      <c r="D7" s="1">
        <v>2</v>
      </c>
      <c r="E7" s="1">
        <v>2</v>
      </c>
      <c r="F7" s="1">
        <v>3</v>
      </c>
      <c r="G7" s="1">
        <v>3</v>
      </c>
      <c r="H7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2.1</v>
      </c>
    </row>
    <row r="8" spans="1:8">
      <c r="A8" s="6" t="s">
        <v>39</v>
      </c>
      <c r="H8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0</v>
      </c>
    </row>
    <row r="9" spans="1:8">
      <c r="A9" s="6" t="s">
        <v>40</v>
      </c>
      <c r="B9" s="1">
        <v>4</v>
      </c>
      <c r="C9" s="1">
        <v>5</v>
      </c>
      <c r="D9" s="1">
        <v>5</v>
      </c>
      <c r="E9" s="1">
        <v>5</v>
      </c>
      <c r="F9" s="1">
        <v>4</v>
      </c>
      <c r="G9" s="1">
        <v>5</v>
      </c>
      <c r="H9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4.6999999999999993</v>
      </c>
    </row>
    <row r="10" spans="1:8">
      <c r="A10" s="6" t="s">
        <v>41</v>
      </c>
      <c r="C10" s="1">
        <v>4</v>
      </c>
      <c r="D10" s="1">
        <v>5</v>
      </c>
      <c r="E10" s="1">
        <v>4</v>
      </c>
      <c r="F10" s="1">
        <v>3</v>
      </c>
      <c r="G10" s="1">
        <v>3</v>
      </c>
      <c r="H10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3.0000000000000004</v>
      </c>
    </row>
    <row r="11" spans="1:8">
      <c r="A11" s="6" t="s">
        <v>42</v>
      </c>
      <c r="C11" s="1">
        <v>5</v>
      </c>
      <c r="E11" s="1">
        <v>3</v>
      </c>
      <c r="G11" s="1">
        <v>5</v>
      </c>
      <c r="H11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2.8</v>
      </c>
    </row>
    <row r="12" spans="1:8">
      <c r="A12" s="6" t="s">
        <v>43</v>
      </c>
      <c r="B12" s="1">
        <v>2</v>
      </c>
      <c r="C12" s="1">
        <v>3</v>
      </c>
      <c r="D12" s="1">
        <v>2</v>
      </c>
      <c r="E12" s="1">
        <v>2</v>
      </c>
      <c r="F12" s="1">
        <v>4</v>
      </c>
      <c r="G12" s="1">
        <v>5</v>
      </c>
      <c r="H12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3.0999999999999996</v>
      </c>
    </row>
    <row r="13" spans="1:8">
      <c r="A13" s="6" t="s">
        <v>44</v>
      </c>
      <c r="B13" s="1">
        <v>4</v>
      </c>
      <c r="C13" s="1">
        <v>4</v>
      </c>
      <c r="D13" s="1">
        <v>3</v>
      </c>
      <c r="E13" s="1">
        <v>5</v>
      </c>
      <c r="F13" s="4">
        <v>3</v>
      </c>
      <c r="G13" s="1">
        <v>2</v>
      </c>
      <c r="H13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3.4999999999999996</v>
      </c>
    </row>
    <row r="14" spans="1:8">
      <c r="A14" s="6" t="s">
        <v>45</v>
      </c>
      <c r="H14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0</v>
      </c>
    </row>
    <row r="15" spans="1:8">
      <c r="A15" s="6" t="s">
        <v>46</v>
      </c>
      <c r="B15" s="1">
        <v>2</v>
      </c>
      <c r="C15" s="1">
        <v>5</v>
      </c>
      <c r="E15" s="1">
        <v>5</v>
      </c>
      <c r="F15" s="4">
        <v>3</v>
      </c>
      <c r="G15" s="1">
        <v>5</v>
      </c>
      <c r="H15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3.7</v>
      </c>
    </row>
    <row r="16" spans="1:8">
      <c r="A16" s="6" t="s">
        <v>47</v>
      </c>
      <c r="D16" s="1">
        <v>3</v>
      </c>
      <c r="E16" s="1">
        <v>3</v>
      </c>
      <c r="G16" s="1">
        <v>3</v>
      </c>
      <c r="H16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1.2000000000000002</v>
      </c>
    </row>
    <row r="17" spans="1:8">
      <c r="A17" s="6" t="s">
        <v>48</v>
      </c>
      <c r="B17" s="1">
        <v>5</v>
      </c>
      <c r="C17" s="1">
        <v>5</v>
      </c>
      <c r="E17" s="1">
        <v>4</v>
      </c>
      <c r="F17" s="1">
        <v>5</v>
      </c>
      <c r="H17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3.4</v>
      </c>
    </row>
    <row r="18" spans="1:8">
      <c r="A18" s="6" t="s">
        <v>49</v>
      </c>
      <c r="D18" s="1">
        <v>3</v>
      </c>
      <c r="E18" s="1">
        <v>3</v>
      </c>
      <c r="F18" s="1">
        <v>3</v>
      </c>
      <c r="G18" s="1">
        <v>2</v>
      </c>
      <c r="H18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1.3000000000000003</v>
      </c>
    </row>
    <row r="19" spans="1:8">
      <c r="A19" s="6" t="s">
        <v>50</v>
      </c>
      <c r="C19" s="1">
        <v>5</v>
      </c>
      <c r="D19" s="1">
        <v>2</v>
      </c>
      <c r="E19" s="1">
        <v>2</v>
      </c>
      <c r="G19" s="1">
        <v>2</v>
      </c>
      <c r="H19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2.2999999999999998</v>
      </c>
    </row>
    <row r="20" spans="1:8">
      <c r="A20" s="7" t="s">
        <v>51</v>
      </c>
      <c r="H20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0</v>
      </c>
    </row>
    <row r="21" spans="1:8">
      <c r="A21" s="6" t="s">
        <v>52</v>
      </c>
      <c r="D21" s="1">
        <v>1</v>
      </c>
      <c r="E21" s="1">
        <v>2</v>
      </c>
      <c r="F21" s="1">
        <v>4</v>
      </c>
      <c r="G21" s="1">
        <v>5</v>
      </c>
      <c r="H21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1.7000000000000002</v>
      </c>
    </row>
    <row r="22" spans="1:8">
      <c r="A22" s="6" t="s">
        <v>53</v>
      </c>
      <c r="C22" s="1">
        <v>1</v>
      </c>
      <c r="G22" s="1">
        <v>1</v>
      </c>
      <c r="H22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0.5</v>
      </c>
    </row>
    <row r="23" spans="1:8">
      <c r="A23" s="6" t="s">
        <v>54</v>
      </c>
      <c r="C23" s="1">
        <v>4</v>
      </c>
      <c r="D23" s="1">
        <v>4</v>
      </c>
      <c r="E23" s="1">
        <v>3</v>
      </c>
      <c r="G23" s="1">
        <v>5</v>
      </c>
      <c r="H23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2.9000000000000004</v>
      </c>
    </row>
    <row r="24" spans="1:8">
      <c r="A24" s="8" t="s">
        <v>55</v>
      </c>
      <c r="B24" s="1">
        <v>5</v>
      </c>
      <c r="C24" s="1">
        <v>1</v>
      </c>
      <c r="D24" s="1">
        <v>2</v>
      </c>
      <c r="E24" s="1">
        <v>1</v>
      </c>
      <c r="F24" s="1">
        <v>3</v>
      </c>
      <c r="G24" s="1">
        <v>1</v>
      </c>
      <c r="H24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2.1</v>
      </c>
    </row>
    <row r="25" spans="1:8">
      <c r="A25" s="7" t="s">
        <v>56</v>
      </c>
      <c r="H25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0</v>
      </c>
    </row>
    <row r="26" spans="1:8">
      <c r="A26" s="7" t="s">
        <v>57</v>
      </c>
      <c r="H26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0</v>
      </c>
    </row>
    <row r="27" spans="1:8">
      <c r="A27" s="6" t="s">
        <v>58</v>
      </c>
      <c r="H27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0</v>
      </c>
    </row>
    <row r="28" spans="1:8">
      <c r="A28" s="6" t="s">
        <v>59</v>
      </c>
      <c r="B28" s="1">
        <v>4</v>
      </c>
      <c r="C28" s="1">
        <v>4</v>
      </c>
      <c r="D28" s="1">
        <v>3</v>
      </c>
      <c r="E28" s="1">
        <v>2</v>
      </c>
      <c r="G28" s="1">
        <v>5</v>
      </c>
      <c r="H28" s="1">
        <f>Tabella2[[#This Row],[REPUTAZIONE]]*B$39+Tabella2[[#This Row],[FREQ. AGGIORN]]*C$39+Tabella2[[#This Row],[n ENTRIES]]*D$39+Tabella2[[#This Row],[Facilita download]]*E$39+Tabella2[[#This Row],[Affidabilita]]*F$39+Tabella2[[#This Row],[Ultimo aggiornamento]]*G$39</f>
        <v>3.5</v>
      </c>
    </row>
    <row r="29" spans="1:8">
      <c r="A29" s="6"/>
      <c r="H29" s="5"/>
    </row>
    <row r="30" spans="1:8">
      <c r="A30" s="6"/>
      <c r="H30" s="5"/>
    </row>
    <row r="31" spans="1:8">
      <c r="A31" s="6"/>
      <c r="H31" s="5"/>
    </row>
    <row r="39" spans="2:8">
      <c r="B39" s="1">
        <v>0.2</v>
      </c>
      <c r="C39" s="1">
        <v>0.3</v>
      </c>
      <c r="D39" s="1">
        <v>0.1</v>
      </c>
      <c r="E39" s="1">
        <v>0.1</v>
      </c>
      <c r="F39" s="1">
        <v>0.1</v>
      </c>
      <c r="G39" s="1">
        <v>0.2</v>
      </c>
    </row>
    <row r="41" spans="2:8">
      <c r="D41" s="3" t="s">
        <v>60</v>
      </c>
      <c r="G41" s="3" t="s">
        <v>20</v>
      </c>
    </row>
    <row r="42" spans="2:8">
      <c r="D42" s="1">
        <v>1</v>
      </c>
      <c r="E42" s="2" t="s">
        <v>61</v>
      </c>
      <c r="G42" s="1">
        <v>1</v>
      </c>
      <c r="H42" s="1" t="s">
        <v>21</v>
      </c>
    </row>
    <row r="43" spans="2:8">
      <c r="D43" s="1">
        <v>2</v>
      </c>
      <c r="E43" s="2" t="s">
        <v>62</v>
      </c>
      <c r="G43" s="1">
        <v>2</v>
      </c>
      <c r="H43" s="1" t="s">
        <v>22</v>
      </c>
    </row>
    <row r="44" spans="2:8" ht="28">
      <c r="D44" s="1">
        <v>3</v>
      </c>
      <c r="E44" s="2" t="s">
        <v>64</v>
      </c>
      <c r="G44" s="1">
        <v>3</v>
      </c>
      <c r="H44" s="1" t="s">
        <v>23</v>
      </c>
    </row>
    <row r="45" spans="2:8" ht="28">
      <c r="D45" s="1">
        <v>4</v>
      </c>
      <c r="E45" s="2" t="s">
        <v>65</v>
      </c>
      <c r="G45" s="1">
        <v>4</v>
      </c>
      <c r="H45" s="1" t="s">
        <v>24</v>
      </c>
    </row>
    <row r="46" spans="2:8">
      <c r="D46" s="1">
        <v>5</v>
      </c>
      <c r="E46" s="2" t="s">
        <v>63</v>
      </c>
      <c r="G46" s="1">
        <v>5</v>
      </c>
      <c r="H46" s="1" t="s">
        <v>25</v>
      </c>
    </row>
    <row r="48" spans="2:8">
      <c r="G48" s="1" t="s">
        <v>26</v>
      </c>
    </row>
    <row r="49" spans="7:8">
      <c r="G49" s="1">
        <v>0.3</v>
      </c>
      <c r="H49" s="1" t="s">
        <v>27</v>
      </c>
    </row>
    <row r="50" spans="7:8">
      <c r="G50" s="1">
        <v>0.2</v>
      </c>
      <c r="H50" s="1" t="s">
        <v>32</v>
      </c>
    </row>
    <row r="51" spans="7:8">
      <c r="G51" s="1">
        <v>0.1</v>
      </c>
      <c r="H51" s="1" t="s">
        <v>28</v>
      </c>
    </row>
  </sheetData>
  <pageMargins left="0.7" right="0.7" top="0.75" bottom="0.75" header="0.3" footer="0.3"/>
  <legacy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HASH</vt:lpstr>
      <vt:lpstr>IP&amp;DOMINI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Urbinello</dc:creator>
  <cp:lastModifiedBy>Andrea Morichetta</cp:lastModifiedBy>
  <dcterms:created xsi:type="dcterms:W3CDTF">2014-07-22T09:11:35Z</dcterms:created>
  <dcterms:modified xsi:type="dcterms:W3CDTF">2014-07-22T17:24:45Z</dcterms:modified>
</cp:coreProperties>
</file>